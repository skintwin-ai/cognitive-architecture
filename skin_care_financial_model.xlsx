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roup Model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Operational Costs" sheetId="4" state="visible" r:id="rId4"/>
    <sheet xmlns:r="http://schemas.openxmlformats.org/officeDocument/2006/relationships" name="COGS" sheetId="5" state="visible" r:id="rId5"/>
    <sheet xmlns:r="http://schemas.openxmlformats.org/officeDocument/2006/relationships" name="SG&amp;A" sheetId="6" state="visible" r:id="rId6"/>
    <sheet xmlns:r="http://schemas.openxmlformats.org/officeDocument/2006/relationships" name="Revenu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  <font>
      <b val="1"/>
      <i val="1"/>
    </font>
    <font>
      <b val="1"/>
      <sz val="12"/>
    </font>
    <font>
      <b val="1"/>
      <sz val="16"/>
    </font>
  </fonts>
  <fills count="8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FFFCC"/>
        <bgColor rgb="00FFFFCC"/>
      </patternFill>
    </fill>
    <fill>
      <patternFill patternType="solid">
        <fgColor rgb="00E6F1DC"/>
        <bgColor rgb="00E6F1DC"/>
      </patternFill>
    </fill>
    <fill>
      <patternFill patternType="solid">
        <fgColor rgb="00B8CCE4"/>
        <bgColor rgb="00B8CCE4"/>
      </patternFill>
    </fill>
    <fill>
      <patternFill patternType="solid">
        <fgColor rgb="00D8E4BC"/>
        <bgColor rgb="00D8E4B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double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1" fontId="0" fillId="4" borderId="1" applyAlignment="1" pivotButton="0" quotePrefix="0" xfId="0">
      <alignment horizontal="right"/>
    </xf>
    <xf numFmtId="0" fontId="0" fillId="0" borderId="1" pivotButton="0" quotePrefix="0" xfId="0"/>
    <xf numFmtId="0" fontId="0" fillId="4" borderId="1" applyAlignment="1" pivotButton="0" quotePrefix="0" xfId="0">
      <alignment horizontal="right"/>
    </xf>
    <xf numFmtId="10" fontId="0" fillId="4" borderId="1" applyAlignment="1" pivotButton="0" quotePrefix="0" xfId="0">
      <alignment horizontal="right"/>
    </xf>
    <xf numFmtId="3" fontId="0" fillId="4" borderId="1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 wrapText="1"/>
    </xf>
    <xf numFmtId="1" fontId="0" fillId="5" borderId="1" applyAlignment="1" pivotButton="0" quotePrefix="0" xfId="0">
      <alignment horizontal="right"/>
    </xf>
    <xf numFmtId="3" fontId="0" fillId="5" borderId="1" applyAlignment="1" pivotButton="0" quotePrefix="0" xfId="0">
      <alignment horizontal="right"/>
    </xf>
    <xf numFmtId="0" fontId="1" fillId="0" borderId="0" pivotButton="0" quotePrefix="0" xfId="0"/>
    <xf numFmtId="3" fontId="1" fillId="6" borderId="2" pivotButton="0" quotePrefix="0" xfId="0"/>
    <xf numFmtId="0" fontId="4" fillId="0" borderId="0" pivotButton="0" quotePrefix="0" xfId="0"/>
    <xf numFmtId="164" fontId="4" fillId="0" borderId="0" pivotButton="0" quotePrefix="0" xfId="0"/>
    <xf numFmtId="4" fontId="0" fillId="5" borderId="1" applyAlignment="1" pivotButton="0" quotePrefix="0" xfId="0">
      <alignment horizontal="right"/>
    </xf>
    <xf numFmtId="4" fontId="1" fillId="6" borderId="2" pivotButton="0" quotePrefix="0" xfId="0"/>
    <xf numFmtId="4" fontId="4" fillId="0" borderId="0" pivotButton="0" quotePrefix="0" xfId="0"/>
    <xf numFmtId="3" fontId="1" fillId="7" borderId="1" pivotButton="0" quotePrefix="0" xfId="0"/>
    <xf numFmtId="0" fontId="6" fillId="0" borderId="0" applyAlignment="1" pivotButton="0" quotePrefix="0" xfId="0">
      <alignment horizont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1" fillId="0" borderId="1" pivotButton="0" quotePrefix="0" xfId="0"/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3" fontId="0" fillId="0" borderId="1" pivotButton="0" quotePrefix="0" xfId="0"/>
    <xf numFmtId="164" fontId="4" fillId="5" borderId="1" pivotButton="0" quotePrefix="0" xfId="0"/>
    <xf numFmtId="164" fontId="0" fillId="0" borderId="1" pivotButton="0" quotePrefix="0" xfId="0"/>
    <xf numFmtId="3" fontId="0" fillId="5" borderId="1" pivotButton="0" quotePrefix="0" xfId="0"/>
    <xf numFmtId="164" fontId="0" fillId="5" borderId="1" pivotButton="0" quotePrefix="0" xfId="0"/>
    <xf numFmtId="0" fontId="1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1" t="inlineStr">
        <is>
          <t>Skin Care Supply Chain Financial Model - Dashboard</t>
        </is>
      </c>
    </row>
    <row r="3">
      <c r="A3" s="1" t="inlineStr">
        <is>
          <t>Key Financial Metrics</t>
        </is>
      </c>
    </row>
    <row r="4">
      <c r="A4" s="22" t="inlineStr">
        <is>
          <t>Metric</t>
        </is>
      </c>
      <c r="B4" s="23" t="inlineStr">
        <is>
          <t>Year 1</t>
        </is>
      </c>
      <c r="C4" s="23" t="inlineStr">
        <is>
          <t>Year 2</t>
        </is>
      </c>
      <c r="D4" s="23" t="inlineStr">
        <is>
          <t>Year 3</t>
        </is>
      </c>
      <c r="E4" s="23" t="inlineStr">
        <is>
          <t>Year 4</t>
        </is>
      </c>
      <c r="F4" s="23" t="inlineStr">
        <is>
          <t>Year 5</t>
        </is>
      </c>
    </row>
    <row r="5">
      <c r="A5" s="24" t="inlineStr">
        <is>
          <t>Total Revenue</t>
        </is>
      </c>
      <c r="B5" s="25">
        <f>Revenue!F13</f>
        <v/>
      </c>
      <c r="C5" s="25">
        <f>Revenue!G13</f>
        <v/>
      </c>
      <c r="D5" s="25">
        <f>Revenue!H13</f>
        <v/>
      </c>
      <c r="E5" s="25">
        <f>Revenue!I13</f>
        <v/>
      </c>
      <c r="F5" s="25">
        <f>Revenue!J13</f>
        <v/>
      </c>
    </row>
    <row r="6">
      <c r="A6" s="24" t="inlineStr">
        <is>
          <t>Gross Profit</t>
        </is>
      </c>
      <c r="B6" s="25">
        <f>Revenue!F19</f>
        <v/>
      </c>
      <c r="C6" s="25">
        <f>Revenue!G19</f>
        <v/>
      </c>
      <c r="D6" s="25">
        <f>Revenue!H19</f>
        <v/>
      </c>
      <c r="E6" s="25">
        <f>Revenue!I19</f>
        <v/>
      </c>
      <c r="F6" s="25">
        <f>Revenue!J19</f>
        <v/>
      </c>
    </row>
    <row r="7">
      <c r="A7" s="24" t="inlineStr">
        <is>
          <t>Gross Margin %</t>
        </is>
      </c>
      <c r="B7" s="26">
        <f>Revenue!F20</f>
        <v/>
      </c>
      <c r="C7" s="26">
        <f>Revenue!G20</f>
        <v/>
      </c>
      <c r="D7" s="26">
        <f>Revenue!H20</f>
        <v/>
      </c>
      <c r="E7" s="26">
        <f>Revenue!I20</f>
        <v/>
      </c>
      <c r="F7" s="26">
        <f>Revenue!J20</f>
        <v/>
      </c>
    </row>
    <row r="8">
      <c r="A8" s="24" t="inlineStr">
        <is>
          <t>EBITDA</t>
        </is>
      </c>
      <c r="B8" s="25">
        <f>Revenue!F23</f>
        <v/>
      </c>
      <c r="C8" s="25">
        <f>Revenue!G23</f>
        <v/>
      </c>
      <c r="D8" s="25">
        <f>Revenue!H23</f>
        <v/>
      </c>
      <c r="E8" s="25">
        <f>Revenue!I23</f>
        <v/>
      </c>
      <c r="F8" s="25">
        <f>Revenue!J23</f>
        <v/>
      </c>
    </row>
    <row r="9">
      <c r="A9" s="24" t="inlineStr">
        <is>
          <t>EBITDA Margin %</t>
        </is>
      </c>
      <c r="B9" s="26">
        <f>Revenue!F24</f>
        <v/>
      </c>
      <c r="C9" s="26">
        <f>Revenue!G24</f>
        <v/>
      </c>
      <c r="D9" s="26">
        <f>Revenue!H24</f>
        <v/>
      </c>
      <c r="E9" s="26">
        <f>Revenue!I24</f>
        <v/>
      </c>
      <c r="F9" s="26">
        <f>Revenue!J24</f>
        <v/>
      </c>
    </row>
    <row r="10">
      <c r="A10" s="24" t="inlineStr">
        <is>
          <t>Net Income</t>
        </is>
      </c>
      <c r="B10" s="25">
        <f>Revenue!F31</f>
        <v/>
      </c>
      <c r="C10" s="25">
        <f>Revenue!G31</f>
        <v/>
      </c>
      <c r="D10" s="25">
        <f>Revenue!H31</f>
        <v/>
      </c>
      <c r="E10" s="25">
        <f>Revenue!I31</f>
        <v/>
      </c>
      <c r="F10" s="25">
        <f>Revenue!J31</f>
        <v/>
      </c>
    </row>
    <row r="11">
      <c r="A11" s="24" t="inlineStr">
        <is>
          <t>Net Profit Margin %</t>
        </is>
      </c>
      <c r="B11" s="26">
        <f>Revenue!F32</f>
        <v/>
      </c>
      <c r="C11" s="26">
        <f>Revenue!G32</f>
        <v/>
      </c>
      <c r="D11" s="26">
        <f>Revenue!H32</f>
        <v/>
      </c>
      <c r="E11" s="26">
        <f>Revenue!I32</f>
        <v/>
      </c>
      <c r="F11" s="26">
        <f>Revenue!J32</f>
        <v/>
      </c>
    </row>
    <row r="12">
      <c r="A12" s="24" t="inlineStr">
        <is>
          <t>COGS as % of Revenue</t>
        </is>
      </c>
      <c r="B12" s="26">
        <f>COGS!F30/Revenue!F13</f>
        <v/>
      </c>
      <c r="C12" s="26">
        <f>COGS!G30/Revenue!G13</f>
        <v/>
      </c>
      <c r="D12" s="26">
        <f>COGS!H30/Revenue!H13</f>
        <v/>
      </c>
      <c r="E12" s="26">
        <f>COGS!I30/Revenue!I13</f>
        <v/>
      </c>
      <c r="F12" s="26">
        <f>COGS!J30/Revenue!J13</f>
        <v/>
      </c>
    </row>
    <row r="13">
      <c r="A13" s="24" t="inlineStr">
        <is>
          <t>SG&amp;A as % of Revenue</t>
        </is>
      </c>
      <c r="B13" s="26">
        <f>'SG&amp;A'!F40/Revenue!F13</f>
        <v/>
      </c>
      <c r="C13" s="26">
        <f>'SG&amp;A'!G40/Revenue!G13</f>
        <v/>
      </c>
      <c r="D13" s="26">
        <f>'SG&amp;A'!H40/Revenue!H13</f>
        <v/>
      </c>
      <c r="E13" s="26">
        <f>'SG&amp;A'!I40/Revenue!I13</f>
        <v/>
      </c>
      <c r="F13" s="26">
        <f>'SG&amp;A'!J40/Revenue!J13</f>
        <v/>
      </c>
    </row>
    <row r="14">
      <c r="A14" s="24" t="inlineStr">
        <is>
          <t>Operational Costs as % of Revenue</t>
        </is>
      </c>
      <c r="B14" s="26">
        <f>'Operational Costs'!F30/Revenue!F13</f>
        <v/>
      </c>
      <c r="C14" s="26">
        <f>'Operational Costs'!G30/Revenue!G13</f>
        <v/>
      </c>
      <c r="D14" s="26">
        <f>'Operational Costs'!H30/Revenue!H13</f>
        <v/>
      </c>
      <c r="E14" s="26">
        <f>'Operational Costs'!I30/Revenue!I13</f>
        <v/>
      </c>
      <c r="F14" s="26">
        <f>'Operational Costs'!J30/Revenue!J13</f>
        <v/>
      </c>
    </row>
    <row r="15">
      <c r="A15" s="1" t="inlineStr">
        <is>
          <t>Cost Structure</t>
        </is>
      </c>
    </row>
    <row r="16">
      <c r="A16" s="22" t="inlineStr">
        <is>
          <t>Cost Category</t>
        </is>
      </c>
      <c r="B16" s="23" t="inlineStr">
        <is>
          <t>Year 1 Amount</t>
        </is>
      </c>
      <c r="C16" s="23" t="inlineStr">
        <is>
          <t>% of Total Costs</t>
        </is>
      </c>
    </row>
    <row r="17">
      <c r="A17" s="24" t="inlineStr">
        <is>
          <t>Raw Materials</t>
        </is>
      </c>
      <c r="B17" s="25">
        <f>100000</f>
        <v/>
      </c>
      <c r="C17" s="26">
        <f>B17/SUM(B17:B28)</f>
        <v/>
      </c>
    </row>
    <row r="18">
      <c r="A18" s="24" t="inlineStr">
        <is>
          <t>Packaging Materials</t>
        </is>
      </c>
      <c r="B18" s="25">
        <f>100000</f>
        <v/>
      </c>
      <c r="C18" s="26">
        <f>B18/SUM(B17:B28)</f>
        <v/>
      </c>
    </row>
    <row r="19">
      <c r="A19" s="24" t="inlineStr">
        <is>
          <t>Direct Labor</t>
        </is>
      </c>
      <c r="B19" s="25">
        <f>100000</f>
        <v/>
      </c>
      <c r="C19" s="26">
        <f>B19/SUM(B17:B28)</f>
        <v/>
      </c>
    </row>
    <row r="20">
      <c r="A20" s="24" t="inlineStr">
        <is>
          <t>Manufacturing Overhead</t>
        </is>
      </c>
      <c r="B20" s="25">
        <f>100000</f>
        <v/>
      </c>
      <c r="C20" s="26">
        <f>B20/SUM(B17:B28)</f>
        <v/>
      </c>
    </row>
    <row r="21">
      <c r="A21" s="24" t="inlineStr">
        <is>
          <t>Contract Manufacturing</t>
        </is>
      </c>
      <c r="B21" s="25">
        <f>100000</f>
        <v/>
      </c>
      <c r="C21" s="26">
        <f>B21/SUM(B17:B28)</f>
        <v/>
      </c>
    </row>
    <row r="22">
      <c r="A22" s="24" t="inlineStr">
        <is>
          <t>Quality Control</t>
        </is>
      </c>
      <c r="B22" s="25">
        <f>100000</f>
        <v/>
      </c>
      <c r="C22" s="26">
        <f>B22/SUM(B17:B28)</f>
        <v/>
      </c>
    </row>
    <row r="23">
      <c r="A23" s="24" t="inlineStr">
        <is>
          <t>Freight &amp; Logistics (Inbound)</t>
        </is>
      </c>
      <c r="B23" s="25">
        <f>100000</f>
        <v/>
      </c>
      <c r="C23" s="26">
        <f>B23/SUM(B17:B28)</f>
        <v/>
      </c>
    </row>
    <row r="24">
      <c r="A24" s="24" t="inlineStr">
        <is>
          <t>Facility Costs</t>
        </is>
      </c>
      <c r="B24" s="25">
        <f>150000</f>
        <v/>
      </c>
      <c r="C24" s="26">
        <f>B24/SUM(B17:B28)</f>
        <v/>
      </c>
    </row>
    <row r="25">
      <c r="A25" s="24" t="inlineStr">
        <is>
          <t>Equipment Costs</t>
        </is>
      </c>
      <c r="B25" s="25">
        <f>150000</f>
        <v/>
      </c>
      <c r="C25" s="26">
        <f>B25/SUM(B17:B28)</f>
        <v/>
      </c>
    </row>
    <row r="26">
      <c r="A26" s="24" t="inlineStr">
        <is>
          <t>Supply Chain Costs</t>
        </is>
      </c>
      <c r="B26" s="25">
        <f>150000</f>
        <v/>
      </c>
      <c r="C26" s="26">
        <f>B26/SUM(B17:B28)</f>
        <v/>
      </c>
    </row>
    <row r="27">
      <c r="A27" s="24" t="inlineStr">
        <is>
          <t>Sales Expenses</t>
        </is>
      </c>
      <c r="B27" s="25">
        <f>200000</f>
        <v/>
      </c>
      <c r="C27" s="26">
        <f>B27/SUM(B17:B28)</f>
        <v/>
      </c>
    </row>
    <row r="28">
      <c r="A28" s="24" t="inlineStr">
        <is>
          <t>Marketing Expenses</t>
        </is>
      </c>
      <c r="B28" s="25">
        <f>200000</f>
        <v/>
      </c>
      <c r="C28" s="26">
        <f>B28/SUM(B17:B28)</f>
        <v/>
      </c>
    </row>
    <row r="29">
      <c r="A29" s="1" t="inlineStr">
        <is>
          <t>Revenue Breakdown</t>
        </is>
      </c>
    </row>
    <row r="30">
      <c r="A30" s="22" t="inlineStr">
        <is>
          <t>Revenue Category</t>
        </is>
      </c>
      <c r="B30" s="23" t="inlineStr">
        <is>
          <t>Year 1 Amount</t>
        </is>
      </c>
      <c r="C30" s="23" t="inlineStr">
        <is>
          <t>% of Total Revenue</t>
        </is>
      </c>
    </row>
    <row r="31">
      <c r="A31" s="24" t="inlineStr">
        <is>
          <t>Facial Skincare</t>
        </is>
      </c>
      <c r="B31" s="25">
        <f>Revenue!F3</f>
        <v/>
      </c>
      <c r="C31" s="26">
        <f>B31/Revenue!F13</f>
        <v/>
      </c>
    </row>
    <row r="32">
      <c r="A32" s="24" t="inlineStr">
        <is>
          <t>Body Care</t>
        </is>
      </c>
      <c r="B32" s="25">
        <f>Revenue!F4</f>
        <v/>
      </c>
      <c r="C32" s="26">
        <f>B32/Revenue!F13</f>
        <v/>
      </c>
    </row>
    <row r="33">
      <c r="A33" s="24" t="inlineStr">
        <is>
          <t>Specialty Products</t>
        </is>
      </c>
      <c r="B33" s="25">
        <f>Revenue!F5</f>
        <v/>
      </c>
      <c r="C33" s="26">
        <f>B33/Revenue!F13</f>
        <v/>
      </c>
    </row>
    <row r="34">
      <c r="A34" s="24" t="inlineStr">
        <is>
          <t>Direct-to-Consumer (DTC)</t>
        </is>
      </c>
      <c r="B34" s="25">
        <f>Revenue!F6</f>
        <v/>
      </c>
      <c r="C34" s="26">
        <f>B34/Revenue!F13</f>
        <v/>
      </c>
    </row>
    <row r="35">
      <c r="A35" s="24" t="inlineStr">
        <is>
          <t>Retail</t>
        </is>
      </c>
      <c r="B35" s="25">
        <f>Revenue!F7</f>
        <v/>
      </c>
      <c r="C35" s="26">
        <f>B35/Revenue!F13</f>
        <v/>
      </c>
    </row>
    <row r="36">
      <c r="A36" s="24" t="inlineStr">
        <is>
          <t>Wholesale/B2B</t>
        </is>
      </c>
      <c r="B36" s="25">
        <f>Revenue!F8</f>
        <v/>
      </c>
      <c r="C36" s="26">
        <f>B36/Revenue!F13</f>
        <v/>
      </c>
    </row>
    <row r="37">
      <c r="A37" s="24" t="inlineStr">
        <is>
          <t>Domestic</t>
        </is>
      </c>
      <c r="B37" s="25">
        <f>Revenue!F9</f>
        <v/>
      </c>
      <c r="C37" s="26">
        <f>B37/Revenue!F13</f>
        <v/>
      </c>
    </row>
    <row r="38">
      <c r="A38" s="24" t="inlineStr">
        <is>
          <t>International - Developed</t>
        </is>
      </c>
      <c r="B38" s="25">
        <f>Revenue!F10</f>
        <v/>
      </c>
      <c r="C38" s="26">
        <f>B38/Revenue!F13</f>
        <v/>
      </c>
    </row>
    <row r="39">
      <c r="A39" s="24" t="inlineStr">
        <is>
          <t>International - Emerging</t>
        </is>
      </c>
      <c r="B39" s="25">
        <f>Revenue!F11</f>
        <v/>
      </c>
      <c r="C39" s="26">
        <f>B39/Revenue!F13</f>
        <v/>
      </c>
    </row>
  </sheetData>
  <mergeCells count="4">
    <mergeCell ref="A15:J15"/>
    <mergeCell ref="A1:J1"/>
    <mergeCell ref="A3:J3"/>
    <mergeCell ref="A29:J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1" t="inlineStr">
        <is>
          <t>Skin Care Supply Chain Group Financial Model</t>
        </is>
      </c>
    </row>
    <row r="3">
      <c r="A3" s="1" t="inlineStr">
        <is>
          <t>Group Financial Summary</t>
        </is>
      </c>
    </row>
    <row r="4">
      <c r="A4" s="2" t="inlineStr">
        <is>
          <t>Entity/Metric</t>
        </is>
      </c>
      <c r="B4" s="2" t="inlineStr">
        <is>
          <t>Year 1</t>
        </is>
      </c>
      <c r="C4" s="2" t="inlineStr">
        <is>
          <t>Year 2</t>
        </is>
      </c>
      <c r="D4" s="2" t="inlineStr">
        <is>
          <t>Year 3</t>
        </is>
      </c>
      <c r="E4" s="2" t="inlineStr">
        <is>
          <t>Year 4</t>
        </is>
      </c>
      <c r="F4" s="2" t="inlineStr">
        <is>
          <t>Year 5</t>
        </is>
      </c>
    </row>
    <row r="5">
      <c r="A5" s="34" t="inlineStr">
        <is>
          <t>Manufacturing Entity</t>
        </is>
      </c>
      <c r="B5" s="35" t="n"/>
      <c r="C5" s="35" t="n"/>
      <c r="D5" s="35" t="n"/>
      <c r="E5" s="35" t="n"/>
      <c r="F5" s="35" t="n"/>
    </row>
    <row r="6">
      <c r="A6" s="36" t="inlineStr">
        <is>
          <t xml:space="preserve">  Revenue</t>
        </is>
      </c>
      <c r="B6" s="25">
        <f>Revenue!F13*0.4</f>
        <v/>
      </c>
      <c r="C6" s="25">
        <f>Revenue!G13*0.4</f>
        <v/>
      </c>
      <c r="D6" s="25">
        <f>Revenue!H13*0.4</f>
        <v/>
      </c>
      <c r="E6" s="25">
        <f>Revenue!I13*0.4</f>
        <v/>
      </c>
      <c r="F6" s="25">
        <f>Revenue!J13*0.4</f>
        <v/>
      </c>
    </row>
    <row r="7">
      <c r="A7" s="36" t="inlineStr">
        <is>
          <t xml:space="preserve">  Cost of Goods Sold (COGS)</t>
        </is>
      </c>
      <c r="B7" s="25">
        <f>B7*0.8</f>
        <v/>
      </c>
      <c r="C7" s="25">
        <f>C7*0.8</f>
        <v/>
      </c>
      <c r="D7" s="25">
        <f>D7*0.8</f>
        <v/>
      </c>
      <c r="E7" s="25">
        <f>E7*0.8</f>
        <v/>
      </c>
      <c r="F7" s="25">
        <f>F7*0.8</f>
        <v/>
      </c>
    </row>
    <row r="8">
      <c r="A8" s="36" t="inlineStr">
        <is>
          <t xml:space="preserve">  Gross Profit</t>
        </is>
      </c>
      <c r="B8" s="25">
        <f>B6-B7</f>
        <v/>
      </c>
      <c r="C8" s="25">
        <f>C6-C7</f>
        <v/>
      </c>
      <c r="D8" s="25">
        <f>D6-D7</f>
        <v/>
      </c>
      <c r="E8" s="25">
        <f>E6-E7</f>
        <v/>
      </c>
      <c r="F8" s="25">
        <f>F6-F7</f>
        <v/>
      </c>
    </row>
    <row r="9">
      <c r="A9" s="36" t="inlineStr">
        <is>
          <t xml:space="preserve">  Gross Margin %</t>
        </is>
      </c>
      <c r="B9" s="26">
        <f>B8/B6</f>
        <v/>
      </c>
      <c r="C9" s="26">
        <f>C8/C6</f>
        <v/>
      </c>
      <c r="D9" s="26">
        <f>D8/D6</f>
        <v/>
      </c>
      <c r="E9" s="26">
        <f>E8/E6</f>
        <v/>
      </c>
      <c r="F9" s="26">
        <f>F8/F6</f>
        <v/>
      </c>
    </row>
    <row r="10">
      <c r="A10" s="36" t="inlineStr">
        <is>
          <t xml:space="preserve">  Operational Costs</t>
        </is>
      </c>
      <c r="B10" s="25">
        <f>B6*0.1</f>
        <v/>
      </c>
      <c r="C10" s="25">
        <f>C6*0.1</f>
        <v/>
      </c>
      <c r="D10" s="25">
        <f>D6*0.1</f>
        <v/>
      </c>
      <c r="E10" s="25">
        <f>E6*0.1</f>
        <v/>
      </c>
      <c r="F10" s="25">
        <f>F6*0.1</f>
        <v/>
      </c>
    </row>
    <row r="11">
      <c r="A11" s="36" t="inlineStr">
        <is>
          <t xml:space="preserve">  SG&amp;A Expenses</t>
        </is>
      </c>
      <c r="B11" s="25">
        <f>B6*0.05</f>
        <v/>
      </c>
      <c r="C11" s="25">
        <f>C6*0.05</f>
        <v/>
      </c>
      <c r="D11" s="25">
        <f>D6*0.05</f>
        <v/>
      </c>
      <c r="E11" s="25">
        <f>E6*0.05</f>
        <v/>
      </c>
      <c r="F11" s="25">
        <f>F6*0.05</f>
        <v/>
      </c>
    </row>
    <row r="12">
      <c r="A12" s="36" t="inlineStr">
        <is>
          <t xml:space="preserve">  EBITDA</t>
        </is>
      </c>
      <c r="B12" s="25">
        <f>B8-B10-B11</f>
        <v/>
      </c>
      <c r="C12" s="25">
        <f>C8-C10-C11</f>
        <v/>
      </c>
      <c r="D12" s="25">
        <f>D8-D10-D11</f>
        <v/>
      </c>
      <c r="E12" s="25">
        <f>E8-E10-E11</f>
        <v/>
      </c>
      <c r="F12" s="25">
        <f>F8-F10-F11</f>
        <v/>
      </c>
    </row>
    <row r="13">
      <c r="A13" s="36" t="inlineStr">
        <is>
          <t xml:space="preserve">  EBITDA Margin %</t>
        </is>
      </c>
      <c r="B13" s="26">
        <f>B12/B6</f>
        <v/>
      </c>
      <c r="C13" s="26">
        <f>C12/C6</f>
        <v/>
      </c>
      <c r="D13" s="26">
        <f>D12/D6</f>
        <v/>
      </c>
      <c r="E13" s="26">
        <f>E12/E6</f>
        <v/>
      </c>
      <c r="F13" s="26">
        <f>F12/F6</f>
        <v/>
      </c>
    </row>
    <row r="14">
      <c r="A14" s="36" t="inlineStr">
        <is>
          <t xml:space="preserve">  Depreciation &amp; Amortization</t>
        </is>
      </c>
      <c r="B14" s="25">
        <f>50000</f>
        <v/>
      </c>
      <c r="C14" s="25">
        <f>50000</f>
        <v/>
      </c>
      <c r="D14" s="25">
        <f>50000</f>
        <v/>
      </c>
      <c r="E14" s="25">
        <f>50000</f>
        <v/>
      </c>
      <c r="F14" s="25">
        <f>50000</f>
        <v/>
      </c>
    </row>
    <row r="15">
      <c r="A15" s="36" t="inlineStr">
        <is>
          <t xml:space="preserve">  EBIT</t>
        </is>
      </c>
      <c r="B15" s="25">
        <f>B12-B14</f>
        <v/>
      </c>
      <c r="C15" s="25">
        <f>C12-C14</f>
        <v/>
      </c>
      <c r="D15" s="25">
        <f>D12-D14</f>
        <v/>
      </c>
      <c r="E15" s="25">
        <f>E12-E14</f>
        <v/>
      </c>
      <c r="F15" s="25">
        <f>F12-F14</f>
        <v/>
      </c>
    </row>
    <row r="16">
      <c r="A16" s="36" t="inlineStr">
        <is>
          <t xml:space="preserve">  Interest Expense</t>
        </is>
      </c>
      <c r="B16" s="25">
        <f>20000</f>
        <v/>
      </c>
      <c r="C16" s="25">
        <f>20000</f>
        <v/>
      </c>
      <c r="D16" s="25">
        <f>20000</f>
        <v/>
      </c>
      <c r="E16" s="25">
        <f>20000</f>
        <v/>
      </c>
      <c r="F16" s="25">
        <f>20000</f>
        <v/>
      </c>
    </row>
    <row r="17">
      <c r="A17" s="36" t="inlineStr">
        <is>
          <t xml:space="preserve">  EBT</t>
        </is>
      </c>
      <c r="B17" s="25">
        <f>B15-B16</f>
        <v/>
      </c>
      <c r="C17" s="25">
        <f>C15-C16</f>
        <v/>
      </c>
      <c r="D17" s="25">
        <f>D15-D16</f>
        <v/>
      </c>
      <c r="E17" s="25">
        <f>E15-E16</f>
        <v/>
      </c>
      <c r="F17" s="25">
        <f>F15-F16</f>
        <v/>
      </c>
    </row>
    <row r="18">
      <c r="A18" s="36" t="inlineStr">
        <is>
          <t xml:space="preserve">  Income Tax</t>
        </is>
      </c>
      <c r="B18" s="25">
        <f>B17*0.25</f>
        <v/>
      </c>
      <c r="C18" s="25">
        <f>C17*0.25</f>
        <v/>
      </c>
      <c r="D18" s="25">
        <f>D17*0.25</f>
        <v/>
      </c>
      <c r="E18" s="25">
        <f>E17*0.25</f>
        <v/>
      </c>
      <c r="F18" s="25">
        <f>F17*0.25</f>
        <v/>
      </c>
    </row>
    <row r="19">
      <c r="A19" s="36" t="inlineStr">
        <is>
          <t xml:space="preserve">  Net Income</t>
        </is>
      </c>
      <c r="B19" s="25">
        <f>B17-B18</f>
        <v/>
      </c>
      <c r="C19" s="25">
        <f>C17-C18</f>
        <v/>
      </c>
      <c r="D19" s="25">
        <f>D17-D18</f>
        <v/>
      </c>
      <c r="E19" s="25">
        <f>E17-E18</f>
        <v/>
      </c>
      <c r="F19" s="25">
        <f>F17-F18</f>
        <v/>
      </c>
    </row>
    <row r="20">
      <c r="A20" s="36" t="inlineStr">
        <is>
          <t xml:space="preserve">  Net Profit Margin %</t>
        </is>
      </c>
      <c r="B20" s="26">
        <f>B19/B6</f>
        <v/>
      </c>
      <c r="C20" s="26">
        <f>C19/C6</f>
        <v/>
      </c>
      <c r="D20" s="26">
        <f>D19/D6</f>
        <v/>
      </c>
      <c r="E20" s="26">
        <f>E19/E6</f>
        <v/>
      </c>
      <c r="F20" s="26">
        <f>F19/F6</f>
        <v/>
      </c>
    </row>
    <row r="21"/>
    <row r="22">
      <c r="A22" s="34" t="inlineStr">
        <is>
          <t>Distribution Entity</t>
        </is>
      </c>
      <c r="B22" s="35" t="n"/>
      <c r="C22" s="35" t="n"/>
      <c r="D22" s="35" t="n"/>
      <c r="E22" s="35" t="n"/>
      <c r="F22" s="35" t="n"/>
    </row>
    <row r="23">
      <c r="A23" s="36" t="inlineStr">
        <is>
          <t xml:space="preserve">  Revenue</t>
        </is>
      </c>
      <c r="B23" s="25">
        <f>Revenue!F13*0.3</f>
        <v/>
      </c>
      <c r="C23" s="25">
        <f>Revenue!G13*0.3</f>
        <v/>
      </c>
      <c r="D23" s="25">
        <f>Revenue!H13*0.3</f>
        <v/>
      </c>
      <c r="E23" s="25">
        <f>Revenue!I13*0.3</f>
        <v/>
      </c>
      <c r="F23" s="25">
        <f>Revenue!J13*0.3</f>
        <v/>
      </c>
    </row>
    <row r="24">
      <c r="A24" s="36" t="inlineStr">
        <is>
          <t xml:space="preserve">  Cost of Goods Sold (COGS)</t>
        </is>
      </c>
      <c r="B24" s="25">
        <f>B24*0.7</f>
        <v/>
      </c>
      <c r="C24" s="25">
        <f>C24*0.7</f>
        <v/>
      </c>
      <c r="D24" s="25">
        <f>D24*0.7</f>
        <v/>
      </c>
      <c r="E24" s="25">
        <f>E24*0.7</f>
        <v/>
      </c>
      <c r="F24" s="25">
        <f>F24*0.7</f>
        <v/>
      </c>
    </row>
    <row r="25">
      <c r="A25" s="36" t="inlineStr">
        <is>
          <t xml:space="preserve">  Gross Profit</t>
        </is>
      </c>
      <c r="B25" s="25">
        <f>B23-B24</f>
        <v/>
      </c>
      <c r="C25" s="25">
        <f>C23-C24</f>
        <v/>
      </c>
      <c r="D25" s="25">
        <f>D23-D24</f>
        <v/>
      </c>
      <c r="E25" s="25">
        <f>E23-E24</f>
        <v/>
      </c>
      <c r="F25" s="25">
        <f>F23-F24</f>
        <v/>
      </c>
    </row>
    <row r="26">
      <c r="A26" s="36" t="inlineStr">
        <is>
          <t xml:space="preserve">  Gross Margin %</t>
        </is>
      </c>
      <c r="B26" s="26">
        <f>B25/B23</f>
        <v/>
      </c>
      <c r="C26" s="26">
        <f>C25/C23</f>
        <v/>
      </c>
      <c r="D26" s="26">
        <f>D25/D23</f>
        <v/>
      </c>
      <c r="E26" s="26">
        <f>E25/E23</f>
        <v/>
      </c>
      <c r="F26" s="26">
        <f>F25/F23</f>
        <v/>
      </c>
    </row>
    <row r="27">
      <c r="A27" s="36" t="inlineStr">
        <is>
          <t xml:space="preserve">  Operational Costs</t>
        </is>
      </c>
      <c r="B27" s="25">
        <f>B23*0.15</f>
        <v/>
      </c>
      <c r="C27" s="25">
        <f>C23*0.15</f>
        <v/>
      </c>
      <c r="D27" s="25">
        <f>D23*0.15</f>
        <v/>
      </c>
      <c r="E27" s="25">
        <f>E23*0.15</f>
        <v/>
      </c>
      <c r="F27" s="25">
        <f>F23*0.15</f>
        <v/>
      </c>
    </row>
    <row r="28">
      <c r="A28" s="36" t="inlineStr">
        <is>
          <t xml:space="preserve">  SG&amp;A Expenses</t>
        </is>
      </c>
      <c r="B28" s="25">
        <f>B23*0.08</f>
        <v/>
      </c>
      <c r="C28" s="25">
        <f>C23*0.08</f>
        <v/>
      </c>
      <c r="D28" s="25">
        <f>D23*0.08</f>
        <v/>
      </c>
      <c r="E28" s="25">
        <f>E23*0.08</f>
        <v/>
      </c>
      <c r="F28" s="25">
        <f>F23*0.08</f>
        <v/>
      </c>
    </row>
    <row r="29">
      <c r="A29" s="36" t="inlineStr">
        <is>
          <t xml:space="preserve">  EBITDA</t>
        </is>
      </c>
      <c r="B29" s="25">
        <f>B25-B27-B28</f>
        <v/>
      </c>
      <c r="C29" s="25">
        <f>C25-C27-C28</f>
        <v/>
      </c>
      <c r="D29" s="25">
        <f>D25-D27-D28</f>
        <v/>
      </c>
      <c r="E29" s="25">
        <f>E25-E27-E28</f>
        <v/>
      </c>
      <c r="F29" s="25">
        <f>F25-F27-F28</f>
        <v/>
      </c>
    </row>
    <row r="30">
      <c r="A30" s="36" t="inlineStr">
        <is>
          <t xml:space="preserve">  EBITDA Margin %</t>
        </is>
      </c>
      <c r="B30" s="26">
        <f>B29/B23</f>
        <v/>
      </c>
      <c r="C30" s="26">
        <f>C29/C23</f>
        <v/>
      </c>
      <c r="D30" s="26">
        <f>D29/D23</f>
        <v/>
      </c>
      <c r="E30" s="26">
        <f>E29/E23</f>
        <v/>
      </c>
      <c r="F30" s="26">
        <f>F29/F23</f>
        <v/>
      </c>
    </row>
    <row r="31">
      <c r="A31" s="36" t="inlineStr">
        <is>
          <t xml:space="preserve">  Depreciation &amp; Amortization</t>
        </is>
      </c>
      <c r="B31" s="25">
        <f>30000</f>
        <v/>
      </c>
      <c r="C31" s="25">
        <f>30000</f>
        <v/>
      </c>
      <c r="D31" s="25">
        <f>30000</f>
        <v/>
      </c>
      <c r="E31" s="25">
        <f>30000</f>
        <v/>
      </c>
      <c r="F31" s="25">
        <f>30000</f>
        <v/>
      </c>
    </row>
    <row r="32">
      <c r="A32" s="36" t="inlineStr">
        <is>
          <t xml:space="preserve">  EBIT</t>
        </is>
      </c>
      <c r="B32" s="25">
        <f>B29-B31</f>
        <v/>
      </c>
      <c r="C32" s="25">
        <f>C29-C31</f>
        <v/>
      </c>
      <c r="D32" s="25">
        <f>D29-D31</f>
        <v/>
      </c>
      <c r="E32" s="25">
        <f>E29-E31</f>
        <v/>
      </c>
      <c r="F32" s="25">
        <f>F29-F31</f>
        <v/>
      </c>
    </row>
    <row r="33">
      <c r="A33" s="36" t="inlineStr">
        <is>
          <t xml:space="preserve">  Interest Expense</t>
        </is>
      </c>
      <c r="B33" s="25">
        <f>15000</f>
        <v/>
      </c>
      <c r="C33" s="25">
        <f>15000</f>
        <v/>
      </c>
      <c r="D33" s="25">
        <f>15000</f>
        <v/>
      </c>
      <c r="E33" s="25">
        <f>15000</f>
        <v/>
      </c>
      <c r="F33" s="25">
        <f>15000</f>
        <v/>
      </c>
    </row>
    <row r="34">
      <c r="A34" s="36" t="inlineStr">
        <is>
          <t xml:space="preserve">  EBT</t>
        </is>
      </c>
      <c r="B34" s="25">
        <f>B32-B33</f>
        <v/>
      </c>
      <c r="C34" s="25">
        <f>C32-C33</f>
        <v/>
      </c>
      <c r="D34" s="25">
        <f>D32-D33</f>
        <v/>
      </c>
      <c r="E34" s="25">
        <f>E32-E33</f>
        <v/>
      </c>
      <c r="F34" s="25">
        <f>F32-F33</f>
        <v/>
      </c>
    </row>
    <row r="35">
      <c r="A35" s="36" t="inlineStr">
        <is>
          <t xml:space="preserve">  Income Tax</t>
        </is>
      </c>
      <c r="B35" s="25">
        <f>B34*0.25</f>
        <v/>
      </c>
      <c r="C35" s="25">
        <f>C34*0.25</f>
        <v/>
      </c>
      <c r="D35" s="25">
        <f>D34*0.25</f>
        <v/>
      </c>
      <c r="E35" s="25">
        <f>E34*0.25</f>
        <v/>
      </c>
      <c r="F35" s="25">
        <f>F34*0.25</f>
        <v/>
      </c>
    </row>
    <row r="36">
      <c r="A36" s="36" t="inlineStr">
        <is>
          <t xml:space="preserve">  Net Income</t>
        </is>
      </c>
      <c r="B36" s="25">
        <f>B34-B35</f>
        <v/>
      </c>
      <c r="C36" s="25">
        <f>C34-C35</f>
        <v/>
      </c>
      <c r="D36" s="25">
        <f>D34-D35</f>
        <v/>
      </c>
      <c r="E36" s="25">
        <f>E34-E35</f>
        <v/>
      </c>
      <c r="F36" s="25">
        <f>F34-F35</f>
        <v/>
      </c>
    </row>
    <row r="37">
      <c r="A37" s="36" t="inlineStr">
        <is>
          <t xml:space="preserve">  Net Profit Margin %</t>
        </is>
      </c>
      <c r="B37" s="26">
        <f>B36/B23</f>
        <v/>
      </c>
      <c r="C37" s="26">
        <f>C36/C23</f>
        <v/>
      </c>
      <c r="D37" s="26">
        <f>D36/D23</f>
        <v/>
      </c>
      <c r="E37" s="26">
        <f>E36/E23</f>
        <v/>
      </c>
      <c r="F37" s="26">
        <f>F36/F23</f>
        <v/>
      </c>
    </row>
    <row r="38"/>
    <row r="39">
      <c r="A39" s="34" t="inlineStr">
        <is>
          <t>Retail Entity</t>
        </is>
      </c>
      <c r="B39" s="35" t="n"/>
      <c r="C39" s="35" t="n"/>
      <c r="D39" s="35" t="n"/>
      <c r="E39" s="35" t="n"/>
      <c r="F39" s="35" t="n"/>
    </row>
    <row r="40">
      <c r="A40" s="36" t="inlineStr">
        <is>
          <t xml:space="preserve">  Revenue</t>
        </is>
      </c>
      <c r="B40" s="25">
        <f>Revenue!F13*0.5</f>
        <v/>
      </c>
      <c r="C40" s="25">
        <f>Revenue!G13*0.5</f>
        <v/>
      </c>
      <c r="D40" s="25">
        <f>Revenue!H13*0.5</f>
        <v/>
      </c>
      <c r="E40" s="25">
        <f>Revenue!I13*0.5</f>
        <v/>
      </c>
      <c r="F40" s="25">
        <f>Revenue!J13*0.5</f>
        <v/>
      </c>
    </row>
    <row r="41">
      <c r="A41" s="36" t="inlineStr">
        <is>
          <t xml:space="preserve">  Cost of Goods Sold (COGS)</t>
        </is>
      </c>
      <c r="B41" s="25">
        <f>B41*0.6</f>
        <v/>
      </c>
      <c r="C41" s="25">
        <f>C41*0.6</f>
        <v/>
      </c>
      <c r="D41" s="25">
        <f>D41*0.6</f>
        <v/>
      </c>
      <c r="E41" s="25">
        <f>E41*0.6</f>
        <v/>
      </c>
      <c r="F41" s="25">
        <f>F41*0.6</f>
        <v/>
      </c>
    </row>
    <row r="42">
      <c r="A42" s="36" t="inlineStr">
        <is>
          <t xml:space="preserve">  Gross Profit</t>
        </is>
      </c>
      <c r="B42" s="25">
        <f>B40-B41</f>
        <v/>
      </c>
      <c r="C42" s="25">
        <f>C40-C41</f>
        <v/>
      </c>
      <c r="D42" s="25">
        <f>D40-D41</f>
        <v/>
      </c>
      <c r="E42" s="25">
        <f>E40-E41</f>
        <v/>
      </c>
      <c r="F42" s="25">
        <f>F40-F41</f>
        <v/>
      </c>
    </row>
    <row r="43">
      <c r="A43" s="36" t="inlineStr">
        <is>
          <t xml:space="preserve">  Gross Margin %</t>
        </is>
      </c>
      <c r="B43" s="26">
        <f>B42/B40</f>
        <v/>
      </c>
      <c r="C43" s="26">
        <f>C42/C40</f>
        <v/>
      </c>
      <c r="D43" s="26">
        <f>D42/D40</f>
        <v/>
      </c>
      <c r="E43" s="26">
        <f>E42/E40</f>
        <v/>
      </c>
      <c r="F43" s="26">
        <f>F42/F40</f>
        <v/>
      </c>
    </row>
    <row r="44">
      <c r="A44" s="36" t="inlineStr">
        <is>
          <t xml:space="preserve">  Operational Costs</t>
        </is>
      </c>
      <c r="B44" s="25">
        <f>B40*0.2</f>
        <v/>
      </c>
      <c r="C44" s="25">
        <f>C40*0.2</f>
        <v/>
      </c>
      <c r="D44" s="25">
        <f>D40*0.2</f>
        <v/>
      </c>
      <c r="E44" s="25">
        <f>E40*0.2</f>
        <v/>
      </c>
      <c r="F44" s="25">
        <f>F40*0.2</f>
        <v/>
      </c>
    </row>
    <row r="45">
      <c r="A45" s="36" t="inlineStr">
        <is>
          <t xml:space="preserve">  SG&amp;A Expenses</t>
        </is>
      </c>
      <c r="B45" s="25">
        <f>B40*0.12</f>
        <v/>
      </c>
      <c r="C45" s="25">
        <f>C40*0.12</f>
        <v/>
      </c>
      <c r="D45" s="25">
        <f>D40*0.12</f>
        <v/>
      </c>
      <c r="E45" s="25">
        <f>E40*0.12</f>
        <v/>
      </c>
      <c r="F45" s="25">
        <f>F40*0.12</f>
        <v/>
      </c>
    </row>
    <row r="46">
      <c r="A46" s="36" t="inlineStr">
        <is>
          <t xml:space="preserve">  EBITDA</t>
        </is>
      </c>
      <c r="B46" s="25">
        <f>B42-B44-B45</f>
        <v/>
      </c>
      <c r="C46" s="25">
        <f>C42-C44-C45</f>
        <v/>
      </c>
      <c r="D46" s="25">
        <f>D42-D44-D45</f>
        <v/>
      </c>
      <c r="E46" s="25">
        <f>E42-E44-E45</f>
        <v/>
      </c>
      <c r="F46" s="25">
        <f>F42-F44-F45</f>
        <v/>
      </c>
    </row>
    <row r="47">
      <c r="A47" s="36" t="inlineStr">
        <is>
          <t xml:space="preserve">  EBITDA Margin %</t>
        </is>
      </c>
      <c r="B47" s="26">
        <f>B46/B40</f>
        <v/>
      </c>
      <c r="C47" s="26">
        <f>C46/C40</f>
        <v/>
      </c>
      <c r="D47" s="26">
        <f>D46/D40</f>
        <v/>
      </c>
      <c r="E47" s="26">
        <f>E46/E40</f>
        <v/>
      </c>
      <c r="F47" s="26">
        <f>F46/F40</f>
        <v/>
      </c>
    </row>
    <row r="48">
      <c r="A48" s="36" t="inlineStr">
        <is>
          <t xml:space="preserve">  Depreciation &amp; Amortization</t>
        </is>
      </c>
      <c r="B48" s="25">
        <f>40000</f>
        <v/>
      </c>
      <c r="C48" s="25">
        <f>40000</f>
        <v/>
      </c>
      <c r="D48" s="25">
        <f>40000</f>
        <v/>
      </c>
      <c r="E48" s="25">
        <f>40000</f>
        <v/>
      </c>
      <c r="F48" s="25">
        <f>40000</f>
        <v/>
      </c>
    </row>
    <row r="49">
      <c r="A49" s="36" t="inlineStr">
        <is>
          <t xml:space="preserve">  EBIT</t>
        </is>
      </c>
      <c r="B49" s="25">
        <f>B46-B48</f>
        <v/>
      </c>
      <c r="C49" s="25">
        <f>C46-C48</f>
        <v/>
      </c>
      <c r="D49" s="25">
        <f>D46-D48</f>
        <v/>
      </c>
      <c r="E49" s="25">
        <f>E46-E48</f>
        <v/>
      </c>
      <c r="F49" s="25">
        <f>F46-F48</f>
        <v/>
      </c>
    </row>
    <row r="50">
      <c r="A50" s="36" t="inlineStr">
        <is>
          <t xml:space="preserve">  Interest Expense</t>
        </is>
      </c>
      <c r="B50" s="25">
        <f>25000</f>
        <v/>
      </c>
      <c r="C50" s="25">
        <f>25000</f>
        <v/>
      </c>
      <c r="D50" s="25">
        <f>25000</f>
        <v/>
      </c>
      <c r="E50" s="25">
        <f>25000</f>
        <v/>
      </c>
      <c r="F50" s="25">
        <f>25000</f>
        <v/>
      </c>
    </row>
    <row r="51">
      <c r="A51" s="36" t="inlineStr">
        <is>
          <t xml:space="preserve">  EBT</t>
        </is>
      </c>
      <c r="B51" s="25">
        <f>B49-B50</f>
        <v/>
      </c>
      <c r="C51" s="25">
        <f>C49-C50</f>
        <v/>
      </c>
      <c r="D51" s="25">
        <f>D49-D50</f>
        <v/>
      </c>
      <c r="E51" s="25">
        <f>E49-E50</f>
        <v/>
      </c>
      <c r="F51" s="25">
        <f>F49-F50</f>
        <v/>
      </c>
    </row>
    <row r="52">
      <c r="A52" s="36" t="inlineStr">
        <is>
          <t xml:space="preserve">  Income Tax</t>
        </is>
      </c>
      <c r="B52" s="25">
        <f>B51*0.25</f>
        <v/>
      </c>
      <c r="C52" s="25">
        <f>C51*0.25</f>
        <v/>
      </c>
      <c r="D52" s="25">
        <f>D51*0.25</f>
        <v/>
      </c>
      <c r="E52" s="25">
        <f>E51*0.25</f>
        <v/>
      </c>
      <c r="F52" s="25">
        <f>F51*0.25</f>
        <v/>
      </c>
    </row>
    <row r="53">
      <c r="A53" s="36" t="inlineStr">
        <is>
          <t xml:space="preserve">  Net Income</t>
        </is>
      </c>
      <c r="B53" s="25">
        <f>B51-B52</f>
        <v/>
      </c>
      <c r="C53" s="25">
        <f>C51-C52</f>
        <v/>
      </c>
      <c r="D53" s="25">
        <f>D51-D52</f>
        <v/>
      </c>
      <c r="E53" s="25">
        <f>E51-E52</f>
        <v/>
      </c>
      <c r="F53" s="25">
        <f>F51-F52</f>
        <v/>
      </c>
    </row>
    <row r="54">
      <c r="A54" s="36" t="inlineStr">
        <is>
          <t xml:space="preserve">  Net Profit Margin %</t>
        </is>
      </c>
      <c r="B54" s="26">
        <f>B53/B40</f>
        <v/>
      </c>
      <c r="C54" s="26">
        <f>C53/C40</f>
        <v/>
      </c>
      <c r="D54" s="26">
        <f>D53/D40</f>
        <v/>
      </c>
      <c r="E54" s="26">
        <f>E53/E40</f>
        <v/>
      </c>
      <c r="F54" s="26">
        <f>F53/F40</f>
        <v/>
      </c>
    </row>
    <row r="55"/>
    <row r="56">
      <c r="A56" s="34" t="inlineStr">
        <is>
          <t>Corporate Entity</t>
        </is>
      </c>
      <c r="B56" s="35" t="n"/>
      <c r="C56" s="35" t="n"/>
      <c r="D56" s="35" t="n"/>
      <c r="E56" s="35" t="n"/>
      <c r="F56" s="35" t="n"/>
    </row>
    <row r="57">
      <c r="A57" s="36" t="inlineStr">
        <is>
          <t xml:space="preserve">  Revenue</t>
        </is>
      </c>
      <c r="B57" s="25">
        <f>200000</f>
        <v/>
      </c>
      <c r="C57" s="25">
        <f>200000</f>
        <v/>
      </c>
      <c r="D57" s="25">
        <f>200000</f>
        <v/>
      </c>
      <c r="E57" s="25">
        <f>200000</f>
        <v/>
      </c>
      <c r="F57" s="25">
        <f>200000</f>
        <v/>
      </c>
    </row>
    <row r="58">
      <c r="A58" s="36" t="inlineStr">
        <is>
          <t xml:space="preserve">  Cost of Goods Sold (COGS)</t>
        </is>
      </c>
      <c r="B58" s="25">
        <f>50000</f>
        <v/>
      </c>
      <c r="C58" s="25">
        <f>50000</f>
        <v/>
      </c>
      <c r="D58" s="25">
        <f>50000</f>
        <v/>
      </c>
      <c r="E58" s="25">
        <f>50000</f>
        <v/>
      </c>
      <c r="F58" s="25">
        <f>50000</f>
        <v/>
      </c>
    </row>
    <row r="59">
      <c r="A59" s="36" t="inlineStr">
        <is>
          <t xml:space="preserve">  Gross Profit</t>
        </is>
      </c>
      <c r="B59" s="25">
        <f>B57-B58</f>
        <v/>
      </c>
      <c r="C59" s="25">
        <f>C57-C58</f>
        <v/>
      </c>
      <c r="D59" s="25">
        <f>D57-D58</f>
        <v/>
      </c>
      <c r="E59" s="25">
        <f>E57-E58</f>
        <v/>
      </c>
      <c r="F59" s="25">
        <f>F57-F58</f>
        <v/>
      </c>
    </row>
    <row r="60">
      <c r="A60" s="36" t="inlineStr">
        <is>
          <t xml:space="preserve">  Gross Margin %</t>
        </is>
      </c>
      <c r="B60" s="26">
        <f>B59/B57</f>
        <v/>
      </c>
      <c r="C60" s="26">
        <f>C59/C57</f>
        <v/>
      </c>
      <c r="D60" s="26">
        <f>D59/D57</f>
        <v/>
      </c>
      <c r="E60" s="26">
        <f>E59/E57</f>
        <v/>
      </c>
      <c r="F60" s="26">
        <f>F59/F57</f>
        <v/>
      </c>
    </row>
    <row r="61">
      <c r="A61" s="36" t="inlineStr">
        <is>
          <t xml:space="preserve">  Operational Costs</t>
        </is>
      </c>
      <c r="B61" s="25">
        <f>300000</f>
        <v/>
      </c>
      <c r="C61" s="25">
        <f>300000</f>
        <v/>
      </c>
      <c r="D61" s="25">
        <f>300000</f>
        <v/>
      </c>
      <c r="E61" s="25">
        <f>300000</f>
        <v/>
      </c>
      <c r="F61" s="25">
        <f>300000</f>
        <v/>
      </c>
    </row>
    <row r="62">
      <c r="A62" s="36" t="inlineStr">
        <is>
          <t xml:space="preserve">  SG&amp;A Expenses</t>
        </is>
      </c>
      <c r="B62" s="25">
        <f>400000</f>
        <v/>
      </c>
      <c r="C62" s="25">
        <f>400000</f>
        <v/>
      </c>
      <c r="D62" s="25">
        <f>400000</f>
        <v/>
      </c>
      <c r="E62" s="25">
        <f>400000</f>
        <v/>
      </c>
      <c r="F62" s="25">
        <f>400000</f>
        <v/>
      </c>
    </row>
    <row r="63">
      <c r="A63" s="36" t="inlineStr">
        <is>
          <t xml:space="preserve">  EBITDA</t>
        </is>
      </c>
      <c r="B63" s="25">
        <f>B59-B61-B62</f>
        <v/>
      </c>
      <c r="C63" s="25">
        <f>C59-C61-C62</f>
        <v/>
      </c>
      <c r="D63" s="25">
        <f>D59-D61-D62</f>
        <v/>
      </c>
      <c r="E63" s="25">
        <f>E59-E61-E62</f>
        <v/>
      </c>
      <c r="F63" s="25">
        <f>F59-F61-F62</f>
        <v/>
      </c>
    </row>
    <row r="64">
      <c r="A64" s="36" t="inlineStr">
        <is>
          <t xml:space="preserve">  EBITDA Margin %</t>
        </is>
      </c>
      <c r="B64" s="26">
        <f>B63/B57</f>
        <v/>
      </c>
      <c r="C64" s="26">
        <f>C63/C57</f>
        <v/>
      </c>
      <c r="D64" s="26">
        <f>D63/D57</f>
        <v/>
      </c>
      <c r="E64" s="26">
        <f>E63/E57</f>
        <v/>
      </c>
      <c r="F64" s="26">
        <f>F63/F57</f>
        <v/>
      </c>
    </row>
    <row r="65">
      <c r="A65" s="36" t="inlineStr">
        <is>
          <t xml:space="preserve">  Depreciation &amp; Amortization</t>
        </is>
      </c>
      <c r="B65" s="25">
        <f>20000</f>
        <v/>
      </c>
      <c r="C65" s="25">
        <f>20000</f>
        <v/>
      </c>
      <c r="D65" s="25">
        <f>20000</f>
        <v/>
      </c>
      <c r="E65" s="25">
        <f>20000</f>
        <v/>
      </c>
      <c r="F65" s="25">
        <f>20000</f>
        <v/>
      </c>
    </row>
    <row r="66">
      <c r="A66" s="36" t="inlineStr">
        <is>
          <t xml:space="preserve">  EBIT</t>
        </is>
      </c>
      <c r="B66" s="25">
        <f>B63-B65</f>
        <v/>
      </c>
      <c r="C66" s="25">
        <f>C63-C65</f>
        <v/>
      </c>
      <c r="D66" s="25">
        <f>D63-D65</f>
        <v/>
      </c>
      <c r="E66" s="25">
        <f>E63-E65</f>
        <v/>
      </c>
      <c r="F66" s="25">
        <f>F63-F65</f>
        <v/>
      </c>
    </row>
    <row r="67">
      <c r="A67" s="36" t="inlineStr">
        <is>
          <t xml:space="preserve">  Interest Expense</t>
        </is>
      </c>
      <c r="B67" s="25">
        <f>10000</f>
        <v/>
      </c>
      <c r="C67" s="25">
        <f>10000</f>
        <v/>
      </c>
      <c r="D67" s="25">
        <f>10000</f>
        <v/>
      </c>
      <c r="E67" s="25">
        <f>10000</f>
        <v/>
      </c>
      <c r="F67" s="25">
        <f>10000</f>
        <v/>
      </c>
    </row>
    <row r="68">
      <c r="A68" s="36" t="inlineStr">
        <is>
          <t xml:space="preserve">  EBT</t>
        </is>
      </c>
      <c r="B68" s="25">
        <f>B66-B67</f>
        <v/>
      </c>
      <c r="C68" s="25">
        <f>C66-C67</f>
        <v/>
      </c>
      <c r="D68" s="25">
        <f>D66-D67</f>
        <v/>
      </c>
      <c r="E68" s="25">
        <f>E66-E67</f>
        <v/>
      </c>
      <c r="F68" s="25">
        <f>F66-F67</f>
        <v/>
      </c>
    </row>
    <row r="69">
      <c r="A69" s="36" t="inlineStr">
        <is>
          <t xml:space="preserve">  Income Tax</t>
        </is>
      </c>
      <c r="B69" s="25">
        <f>B68*0.25</f>
        <v/>
      </c>
      <c r="C69" s="25">
        <f>C68*0.25</f>
        <v/>
      </c>
      <c r="D69" s="25">
        <f>D68*0.25</f>
        <v/>
      </c>
      <c r="E69" s="25">
        <f>E68*0.25</f>
        <v/>
      </c>
      <c r="F69" s="25">
        <f>F68*0.25</f>
        <v/>
      </c>
    </row>
    <row r="70">
      <c r="A70" s="36" t="inlineStr">
        <is>
          <t xml:space="preserve">  Net Income</t>
        </is>
      </c>
      <c r="B70" s="25">
        <f>B68-B69</f>
        <v/>
      </c>
      <c r="C70" s="25">
        <f>C68-C69</f>
        <v/>
      </c>
      <c r="D70" s="25">
        <f>D68-D69</f>
        <v/>
      </c>
      <c r="E70" s="25">
        <f>E68-E69</f>
        <v/>
      </c>
      <c r="F70" s="25">
        <f>F68-F69</f>
        <v/>
      </c>
    </row>
    <row r="71">
      <c r="A71" s="36" t="inlineStr">
        <is>
          <t xml:space="preserve">  Net Profit Margin %</t>
        </is>
      </c>
      <c r="B71" s="26">
        <f>B70/B57</f>
        <v/>
      </c>
      <c r="C71" s="26">
        <f>C70/C57</f>
        <v/>
      </c>
      <c r="D71" s="26">
        <f>D70/D57</f>
        <v/>
      </c>
      <c r="E71" s="26">
        <f>E70/E57</f>
        <v/>
      </c>
      <c r="F71" s="26">
        <f>F70/F57</f>
        <v/>
      </c>
    </row>
    <row r="72"/>
    <row r="73">
      <c r="A73" s="34" t="inlineStr">
        <is>
          <t>Eliminations</t>
        </is>
      </c>
      <c r="B73" s="35" t="n"/>
      <c r="C73" s="35" t="n"/>
      <c r="D73" s="35" t="n"/>
      <c r="E73" s="35" t="n"/>
      <c r="F73" s="35" t="n"/>
    </row>
    <row r="74">
      <c r="A74" s="36" t="inlineStr">
        <is>
          <t xml:space="preserve">  Revenue</t>
        </is>
      </c>
      <c r="B74" s="25">
        <f>-Revenue!F13*0.2</f>
        <v/>
      </c>
      <c r="C74" s="25">
        <f>-Revenue!G13*0.2</f>
        <v/>
      </c>
      <c r="D74" s="25">
        <f>-Revenue!H13*0.2</f>
        <v/>
      </c>
      <c r="E74" s="25">
        <f>-Revenue!I13*0.2</f>
        <v/>
      </c>
      <c r="F74" s="25">
        <f>-Revenue!J13*0.2</f>
        <v/>
      </c>
    </row>
    <row r="75">
      <c r="A75" s="36" t="inlineStr">
        <is>
          <t xml:space="preserve">  Cost of Goods Sold (COGS)</t>
        </is>
      </c>
      <c r="B75" s="25">
        <f>-B75*0.8</f>
        <v/>
      </c>
      <c r="C75" s="25">
        <f>-C75*0.8</f>
        <v/>
      </c>
      <c r="D75" s="25">
        <f>-D75*0.8</f>
        <v/>
      </c>
      <c r="E75" s="25">
        <f>-E75*0.8</f>
        <v/>
      </c>
      <c r="F75" s="25">
        <f>-F75*0.8</f>
        <v/>
      </c>
    </row>
    <row r="76">
      <c r="A76" s="36" t="inlineStr">
        <is>
          <t xml:space="preserve">  Gross Profit</t>
        </is>
      </c>
      <c r="B76" s="25">
        <f>B74-B75</f>
        <v/>
      </c>
      <c r="C76" s="25">
        <f>C74-C75</f>
        <v/>
      </c>
      <c r="D76" s="25">
        <f>D74-D75</f>
        <v/>
      </c>
      <c r="E76" s="25">
        <f>E74-E75</f>
        <v/>
      </c>
      <c r="F76" s="25">
        <f>F74-F75</f>
        <v/>
      </c>
    </row>
    <row r="77">
      <c r="A77" s="36" t="inlineStr">
        <is>
          <t xml:space="preserve">  Gross Margin %</t>
        </is>
      </c>
      <c r="B77" s="37" t="inlineStr">
        <is>
          <t>N/A</t>
        </is>
      </c>
      <c r="C77" s="37" t="inlineStr">
        <is>
          <t>N/A</t>
        </is>
      </c>
      <c r="D77" s="37" t="inlineStr">
        <is>
          <t>N/A</t>
        </is>
      </c>
      <c r="E77" s="37" t="inlineStr">
        <is>
          <t>N/A</t>
        </is>
      </c>
      <c r="F77" s="37" t="inlineStr">
        <is>
          <t>N/A</t>
        </is>
      </c>
    </row>
    <row r="78">
      <c r="A78" s="36" t="inlineStr">
        <is>
          <t xml:space="preserve">  Operational Costs</t>
        </is>
      </c>
      <c r="B78" s="25">
        <f>0</f>
        <v/>
      </c>
      <c r="C78" s="25">
        <f>0</f>
        <v/>
      </c>
      <c r="D78" s="25">
        <f>0</f>
        <v/>
      </c>
      <c r="E78" s="25">
        <f>0</f>
        <v/>
      </c>
      <c r="F78" s="25">
        <f>0</f>
        <v/>
      </c>
    </row>
    <row r="79">
      <c r="A79" s="36" t="inlineStr">
        <is>
          <t xml:space="preserve">  SG&amp;A Expenses</t>
        </is>
      </c>
      <c r="B79" s="25">
        <f>0</f>
        <v/>
      </c>
      <c r="C79" s="25">
        <f>0</f>
        <v/>
      </c>
      <c r="D79" s="25">
        <f>0</f>
        <v/>
      </c>
      <c r="E79" s="25">
        <f>0</f>
        <v/>
      </c>
      <c r="F79" s="25">
        <f>0</f>
        <v/>
      </c>
    </row>
    <row r="80">
      <c r="A80" s="36" t="inlineStr">
        <is>
          <t xml:space="preserve">  EBITDA</t>
        </is>
      </c>
      <c r="B80" s="25">
        <f>B76-B78-B79</f>
        <v/>
      </c>
      <c r="C80" s="25">
        <f>C76-C78-C79</f>
        <v/>
      </c>
      <c r="D80" s="25">
        <f>D76-D78-D79</f>
        <v/>
      </c>
      <c r="E80" s="25">
        <f>E76-E78-E79</f>
        <v/>
      </c>
      <c r="F80" s="25">
        <f>F76-F78-F79</f>
        <v/>
      </c>
    </row>
    <row r="81">
      <c r="A81" s="36" t="inlineStr">
        <is>
          <t xml:space="preserve">  EBITDA Margin %</t>
        </is>
      </c>
      <c r="B81" s="37" t="inlineStr">
        <is>
          <t>N/A</t>
        </is>
      </c>
      <c r="C81" s="37" t="inlineStr">
        <is>
          <t>N/A</t>
        </is>
      </c>
      <c r="D81" s="37" t="inlineStr">
        <is>
          <t>N/A</t>
        </is>
      </c>
      <c r="E81" s="37" t="inlineStr">
        <is>
          <t>N/A</t>
        </is>
      </c>
      <c r="F81" s="37" t="inlineStr">
        <is>
          <t>N/A</t>
        </is>
      </c>
    </row>
    <row r="82">
      <c r="A82" s="36" t="inlineStr">
        <is>
          <t xml:space="preserve">  Depreciation &amp; Amortization</t>
        </is>
      </c>
      <c r="B82" s="25">
        <f>0</f>
        <v/>
      </c>
      <c r="C82" s="25">
        <f>0</f>
        <v/>
      </c>
      <c r="D82" s="25">
        <f>0</f>
        <v/>
      </c>
      <c r="E82" s="25">
        <f>0</f>
        <v/>
      </c>
      <c r="F82" s="25">
        <f>0</f>
        <v/>
      </c>
    </row>
    <row r="83">
      <c r="A83" s="36" t="inlineStr">
        <is>
          <t xml:space="preserve">  EBIT</t>
        </is>
      </c>
      <c r="B83" s="25">
        <f>B80-B82</f>
        <v/>
      </c>
      <c r="C83" s="25">
        <f>C80-C82</f>
        <v/>
      </c>
      <c r="D83" s="25">
        <f>D80-D82</f>
        <v/>
      </c>
      <c r="E83" s="25">
        <f>E80-E82</f>
        <v/>
      </c>
      <c r="F83" s="25">
        <f>F80-F82</f>
        <v/>
      </c>
    </row>
    <row r="84">
      <c r="A84" s="36" t="inlineStr">
        <is>
          <t xml:space="preserve">  Interest Expense</t>
        </is>
      </c>
      <c r="B84" s="25">
        <f>0</f>
        <v/>
      </c>
      <c r="C84" s="25">
        <f>0</f>
        <v/>
      </c>
      <c r="D84" s="25">
        <f>0</f>
        <v/>
      </c>
      <c r="E84" s="25">
        <f>0</f>
        <v/>
      </c>
      <c r="F84" s="25">
        <f>0</f>
        <v/>
      </c>
    </row>
    <row r="85">
      <c r="A85" s="36" t="inlineStr">
        <is>
          <t xml:space="preserve">  EBT</t>
        </is>
      </c>
      <c r="B85" s="25">
        <f>B83-B84</f>
        <v/>
      </c>
      <c r="C85" s="25">
        <f>C83-C84</f>
        <v/>
      </c>
      <c r="D85" s="25">
        <f>D83-D84</f>
        <v/>
      </c>
      <c r="E85" s="25">
        <f>E83-E84</f>
        <v/>
      </c>
      <c r="F85" s="25">
        <f>F83-F84</f>
        <v/>
      </c>
    </row>
    <row r="86">
      <c r="A86" s="36" t="inlineStr">
        <is>
          <t xml:space="preserve">  Income Tax</t>
        </is>
      </c>
      <c r="B86" s="25">
        <f>0</f>
        <v/>
      </c>
      <c r="C86" s="25">
        <f>0</f>
        <v/>
      </c>
      <c r="D86" s="25">
        <f>0</f>
        <v/>
      </c>
      <c r="E86" s="25">
        <f>0</f>
        <v/>
      </c>
      <c r="F86" s="25">
        <f>0</f>
        <v/>
      </c>
    </row>
    <row r="87">
      <c r="A87" s="36" t="inlineStr">
        <is>
          <t xml:space="preserve">  Net Income</t>
        </is>
      </c>
      <c r="B87" s="25">
        <f>B85-B86</f>
        <v/>
      </c>
      <c r="C87" s="25">
        <f>C85-C86</f>
        <v/>
      </c>
      <c r="D87" s="25">
        <f>D85-D86</f>
        <v/>
      </c>
      <c r="E87" s="25">
        <f>E85-E86</f>
        <v/>
      </c>
      <c r="F87" s="25">
        <f>F85-F86</f>
        <v/>
      </c>
    </row>
    <row r="88">
      <c r="A88" s="36" t="inlineStr">
        <is>
          <t xml:space="preserve">  Net Profit Margin %</t>
        </is>
      </c>
      <c r="B88" s="37" t="inlineStr">
        <is>
          <t>N/A</t>
        </is>
      </c>
      <c r="C88" s="37" t="inlineStr">
        <is>
          <t>N/A</t>
        </is>
      </c>
      <c r="D88" s="37" t="inlineStr">
        <is>
          <t>N/A</t>
        </is>
      </c>
      <c r="E88" s="37" t="inlineStr">
        <is>
          <t>N/A</t>
        </is>
      </c>
      <c r="F88" s="37" t="inlineStr">
        <is>
          <t>N/A</t>
        </is>
      </c>
    </row>
    <row r="89"/>
    <row r="90">
      <c r="A90" s="34" t="inlineStr">
        <is>
          <t>Group Consolidated</t>
        </is>
      </c>
      <c r="B90" s="35" t="n"/>
      <c r="C90" s="35" t="n"/>
      <c r="D90" s="35" t="n"/>
      <c r="E90" s="35" t="n"/>
      <c r="F90" s="35" t="n"/>
    </row>
    <row r="91">
      <c r="A91" s="36" t="inlineStr">
        <is>
          <t xml:space="preserve">  Revenue</t>
        </is>
      </c>
      <c r="B91" s="25">
        <f>B6+B22+B38+B54+B70</f>
        <v/>
      </c>
      <c r="C91" s="25">
        <f>C6+C22+C38+C54+C70</f>
        <v/>
      </c>
      <c r="D91" s="25">
        <f>D6+D22+D38+D54+D70</f>
        <v/>
      </c>
      <c r="E91" s="25">
        <f>E6+E22+E38+E54+E70</f>
        <v/>
      </c>
      <c r="F91" s="25">
        <f>F6+F22+F38+F54+F70</f>
        <v/>
      </c>
    </row>
    <row r="92">
      <c r="A92" s="36" t="inlineStr">
        <is>
          <t xml:space="preserve">  Cost of Goods Sold (COGS)</t>
        </is>
      </c>
      <c r="B92" s="25">
        <f>B7+B23+B39+B55+B71</f>
        <v/>
      </c>
      <c r="C92" s="25">
        <f>C7+C23+C39+C55+C71</f>
        <v/>
      </c>
      <c r="D92" s="25">
        <f>D7+D23+D39+D55+D71</f>
        <v/>
      </c>
      <c r="E92" s="25">
        <f>E7+E23+E39+E55+E71</f>
        <v/>
      </c>
      <c r="F92" s="25">
        <f>F7+F23+F39+F55+F71</f>
        <v/>
      </c>
    </row>
    <row r="93">
      <c r="A93" s="36" t="inlineStr">
        <is>
          <t xml:space="preserve">  Gross Profit</t>
        </is>
      </c>
      <c r="B93" s="25">
        <f>B8+B24+B40+B56+B72</f>
        <v/>
      </c>
      <c r="C93" s="25">
        <f>C8+C24+C40+C56+C72</f>
        <v/>
      </c>
      <c r="D93" s="25">
        <f>D8+D24+D40+D56+D72</f>
        <v/>
      </c>
      <c r="E93" s="25">
        <f>E8+E24+E40+E56+E72</f>
        <v/>
      </c>
      <c r="F93" s="25">
        <f>F8+F24+F40+F56+F72</f>
        <v/>
      </c>
    </row>
    <row r="94">
      <c r="A94" s="36" t="inlineStr">
        <is>
          <t xml:space="preserve">  Gross Margin %</t>
        </is>
      </c>
      <c r="B94" s="26">
        <f>B93/B91</f>
        <v/>
      </c>
      <c r="C94" s="26">
        <f>C93/C91</f>
        <v/>
      </c>
      <c r="D94" s="26">
        <f>D93/D91</f>
        <v/>
      </c>
      <c r="E94" s="26">
        <f>E93/E91</f>
        <v/>
      </c>
      <c r="F94" s="26">
        <f>F93/F91</f>
        <v/>
      </c>
    </row>
    <row r="95">
      <c r="A95" s="36" t="inlineStr">
        <is>
          <t xml:space="preserve">  Operational Costs</t>
        </is>
      </c>
      <c r="B95" s="25">
        <f>B10+B26+B42+B58+B74</f>
        <v/>
      </c>
      <c r="C95" s="25">
        <f>C10+C26+C42+C58+C74</f>
        <v/>
      </c>
      <c r="D95" s="25">
        <f>D10+D26+D42+D58+D74</f>
        <v/>
      </c>
      <c r="E95" s="25">
        <f>E10+E26+E42+E58+E74</f>
        <v/>
      </c>
      <c r="F95" s="25">
        <f>F10+F26+F42+F58+F74</f>
        <v/>
      </c>
    </row>
    <row r="96">
      <c r="A96" s="36" t="inlineStr">
        <is>
          <t xml:space="preserve">  SG&amp;A Expenses</t>
        </is>
      </c>
      <c r="B96" s="25">
        <f>B11+B27+B43+B59+B75</f>
        <v/>
      </c>
      <c r="C96" s="25">
        <f>C11+C27+C43+C59+C75</f>
        <v/>
      </c>
      <c r="D96" s="25">
        <f>D11+D27+D43+D59+D75</f>
        <v/>
      </c>
      <c r="E96" s="25">
        <f>E11+E27+E43+E59+E75</f>
        <v/>
      </c>
      <c r="F96" s="25">
        <f>F11+F27+F43+F59+F75</f>
        <v/>
      </c>
    </row>
    <row r="97">
      <c r="A97" s="36" t="inlineStr">
        <is>
          <t xml:space="preserve">  EBITDA</t>
        </is>
      </c>
      <c r="B97" s="25">
        <f>B12+B28+B44+B60+B76</f>
        <v/>
      </c>
      <c r="C97" s="25">
        <f>C12+C28+C44+C60+C76</f>
        <v/>
      </c>
      <c r="D97" s="25">
        <f>D12+D28+D44+D60+D76</f>
        <v/>
      </c>
      <c r="E97" s="25">
        <f>E12+E28+E44+E60+E76</f>
        <v/>
      </c>
      <c r="F97" s="25">
        <f>F12+F28+F44+F60+F76</f>
        <v/>
      </c>
    </row>
    <row r="98">
      <c r="A98" s="36" t="inlineStr">
        <is>
          <t xml:space="preserve">  EBITDA Margin %</t>
        </is>
      </c>
      <c r="B98" s="26">
        <f>B97/B91</f>
        <v/>
      </c>
      <c r="C98" s="26">
        <f>C97/C91</f>
        <v/>
      </c>
      <c r="D98" s="26">
        <f>D97/D91</f>
        <v/>
      </c>
      <c r="E98" s="26">
        <f>E97/E91</f>
        <v/>
      </c>
      <c r="F98" s="26">
        <f>F97/F91</f>
        <v/>
      </c>
    </row>
    <row r="99">
      <c r="A99" s="36" t="inlineStr">
        <is>
          <t xml:space="preserve">  Depreciation &amp; Amortization</t>
        </is>
      </c>
      <c r="B99" s="25">
        <f>B14+B30+B46+B62+B78</f>
        <v/>
      </c>
      <c r="C99" s="25">
        <f>C14+C30+C46+C62+C78</f>
        <v/>
      </c>
      <c r="D99" s="25">
        <f>D14+D30+D46+D62+D78</f>
        <v/>
      </c>
      <c r="E99" s="25">
        <f>E14+E30+E46+E62+E78</f>
        <v/>
      </c>
      <c r="F99" s="25">
        <f>F14+F30+F46+F62+F78</f>
        <v/>
      </c>
    </row>
    <row r="100">
      <c r="A100" s="36" t="inlineStr">
        <is>
          <t xml:space="preserve">  EBIT</t>
        </is>
      </c>
      <c r="B100" s="25">
        <f>B15+B31+B47+B63+B79</f>
        <v/>
      </c>
      <c r="C100" s="25">
        <f>C15+C31+C47+C63+C79</f>
        <v/>
      </c>
      <c r="D100" s="25">
        <f>D15+D31+D47+D63+D79</f>
        <v/>
      </c>
      <c r="E100" s="25">
        <f>E15+E31+E47+E63+E79</f>
        <v/>
      </c>
      <c r="F100" s="25">
        <f>F15+F31+F47+F63+F79</f>
        <v/>
      </c>
    </row>
    <row r="101">
      <c r="A101" s="36" t="inlineStr">
        <is>
          <t xml:space="preserve">  Interest Expense</t>
        </is>
      </c>
      <c r="B101" s="25">
        <f>B16+B32+B48+B64+B80</f>
        <v/>
      </c>
      <c r="C101" s="25">
        <f>C16+C32+C48+C64+C80</f>
        <v/>
      </c>
      <c r="D101" s="25">
        <f>D16+D32+D48+D64+D80</f>
        <v/>
      </c>
      <c r="E101" s="25">
        <f>E16+E32+E48+E64+E80</f>
        <v/>
      </c>
      <c r="F101" s="25">
        <f>F16+F32+F48+F64+F80</f>
        <v/>
      </c>
    </row>
    <row r="102">
      <c r="A102" s="36" t="inlineStr">
        <is>
          <t xml:space="preserve">  EBT</t>
        </is>
      </c>
      <c r="B102" s="25">
        <f>B17+B33+B49+B65+B81</f>
        <v/>
      </c>
      <c r="C102" s="25">
        <f>C17+C33+C49+C65+C81</f>
        <v/>
      </c>
      <c r="D102" s="25">
        <f>D17+D33+D49+D65+D81</f>
        <v/>
      </c>
      <c r="E102" s="25">
        <f>E17+E33+E49+E65+E81</f>
        <v/>
      </c>
      <c r="F102" s="25">
        <f>F17+F33+F49+F65+F81</f>
        <v/>
      </c>
    </row>
    <row r="103">
      <c r="A103" s="36" t="inlineStr">
        <is>
          <t xml:space="preserve">  Income Tax</t>
        </is>
      </c>
      <c r="B103" s="25">
        <f>B18+B34+B50+B66+B82</f>
        <v/>
      </c>
      <c r="C103" s="25">
        <f>C18+C34+C50+C66+C82</f>
        <v/>
      </c>
      <c r="D103" s="25">
        <f>D18+D34+D50+D66+D82</f>
        <v/>
      </c>
      <c r="E103" s="25">
        <f>E18+E34+E50+E66+E82</f>
        <v/>
      </c>
      <c r="F103" s="25">
        <f>F18+F34+F50+F66+F82</f>
        <v/>
      </c>
    </row>
    <row r="104">
      <c r="A104" s="36" t="inlineStr">
        <is>
          <t xml:space="preserve">  Net Income</t>
        </is>
      </c>
      <c r="B104" s="25">
        <f>B19+B35+B51+B67+B83</f>
        <v/>
      </c>
      <c r="C104" s="25">
        <f>C19+C35+C51+C67+C83</f>
        <v/>
      </c>
      <c r="D104" s="25">
        <f>D19+D35+D51+D67+D83</f>
        <v/>
      </c>
      <c r="E104" s="25">
        <f>E19+E35+E51+E67+E83</f>
        <v/>
      </c>
      <c r="F104" s="25">
        <f>F19+F35+F51+F67+F83</f>
        <v/>
      </c>
    </row>
    <row r="105">
      <c r="A105" s="36" t="inlineStr">
        <is>
          <t xml:space="preserve">  Net Profit Margin %</t>
        </is>
      </c>
      <c r="B105" s="26">
        <f>B104/B91</f>
        <v/>
      </c>
      <c r="C105" s="26">
        <f>C104/C91</f>
        <v/>
      </c>
      <c r="D105" s="26">
        <f>D104/D91</f>
        <v/>
      </c>
      <c r="E105" s="26">
        <f>E104/E91</f>
        <v/>
      </c>
      <c r="F105" s="26">
        <f>F104/F91</f>
        <v/>
      </c>
    </row>
    <row r="109">
      <c r="A109" s="1" t="inlineStr">
        <is>
          <t>Key Performance Indicators (KPIs)</t>
        </is>
      </c>
    </row>
    <row r="110">
      <c r="A110" s="2" t="inlineStr">
        <is>
          <t>KPI</t>
        </is>
      </c>
      <c r="B110" s="2" t="inlineStr">
        <is>
          <t>Year 1</t>
        </is>
      </c>
      <c r="C110" s="2" t="inlineStr">
        <is>
          <t>Year 2</t>
        </is>
      </c>
      <c r="D110" s="2" t="inlineStr">
        <is>
          <t>Year 3</t>
        </is>
      </c>
      <c r="E110" s="2" t="inlineStr">
        <is>
          <t>Year 4</t>
        </is>
      </c>
      <c r="F110" s="2" t="inlineStr">
        <is>
          <t>Year 5</t>
        </is>
      </c>
    </row>
    <row r="111">
      <c r="A111" s="36" t="inlineStr">
        <is>
          <t>Return on Investment (ROI)</t>
        </is>
      </c>
      <c r="B111" s="26">
        <f>B103/5000000</f>
        <v/>
      </c>
      <c r="C111" s="26">
        <f>C103/5000000</f>
        <v/>
      </c>
      <c r="D111" s="26">
        <f>D103/5000000</f>
        <v/>
      </c>
      <c r="E111" s="26">
        <f>E103/5000000</f>
        <v/>
      </c>
      <c r="F111" s="26">
        <f>F103/5000000</f>
        <v/>
      </c>
    </row>
    <row r="112">
      <c r="A112" s="36" t="inlineStr">
        <is>
          <t>Return on Assets (ROA)</t>
        </is>
      </c>
      <c r="B112" s="26">
        <f>B103/10000000</f>
        <v/>
      </c>
      <c r="C112" s="26">
        <f>C103/10000000</f>
        <v/>
      </c>
      <c r="D112" s="26">
        <f>D103/10000000</f>
        <v/>
      </c>
      <c r="E112" s="26">
        <f>E103/10000000</f>
        <v/>
      </c>
      <c r="F112" s="26">
        <f>F103/10000000</f>
        <v/>
      </c>
    </row>
    <row r="113">
      <c r="A113" s="36" t="inlineStr">
        <is>
          <t>Return on Equity (ROE)</t>
        </is>
      </c>
      <c r="B113" s="26">
        <f>B103/4000000</f>
        <v/>
      </c>
      <c r="C113" s="26">
        <f>C103/4000000</f>
        <v/>
      </c>
      <c r="D113" s="26">
        <f>D103/4000000</f>
        <v/>
      </c>
      <c r="E113" s="26">
        <f>E103/4000000</f>
        <v/>
      </c>
      <c r="F113" s="26">
        <f>F103/4000000</f>
        <v/>
      </c>
    </row>
    <row r="114">
      <c r="A114" s="36" t="inlineStr">
        <is>
          <t>Inventory Turnover</t>
        </is>
      </c>
      <c r="B114" s="38">
        <f>B91/2000000</f>
        <v/>
      </c>
      <c r="C114" s="38">
        <f>C91/2000000</f>
        <v/>
      </c>
      <c r="D114" s="38">
        <f>D91/2000000</f>
        <v/>
      </c>
      <c r="E114" s="38">
        <f>E91/2000000</f>
        <v/>
      </c>
      <c r="F114" s="38">
        <f>F91/2000000</f>
        <v/>
      </c>
    </row>
    <row r="115">
      <c r="A115" s="36" t="inlineStr">
        <is>
          <t>Days Sales Outstanding (DSO)</t>
        </is>
      </c>
      <c r="B115" s="39">
        <f>(B89*0.15/B89)*365</f>
        <v/>
      </c>
      <c r="C115" s="39">
        <f>(C89*0.15/C89)*365</f>
        <v/>
      </c>
      <c r="D115" s="39">
        <f>(D89*0.15/D89)*365</f>
        <v/>
      </c>
      <c r="E115" s="39">
        <f>(E89*0.15/E89)*365</f>
        <v/>
      </c>
      <c r="F115" s="39">
        <f>(F89*0.15/F89)*365</f>
        <v/>
      </c>
    </row>
    <row r="116">
      <c r="A116" s="36" t="inlineStr">
        <is>
          <t>Days Payable Outstanding (DPO)</t>
        </is>
      </c>
      <c r="B116" s="39">
        <f>(B91*0.2/B91)*365</f>
        <v/>
      </c>
      <c r="C116" s="39">
        <f>(C91*0.2/C91)*365</f>
        <v/>
      </c>
      <c r="D116" s="39">
        <f>(D91*0.2/D91)*365</f>
        <v/>
      </c>
      <c r="E116" s="39">
        <f>(E91*0.2/E91)*365</f>
        <v/>
      </c>
      <c r="F116" s="39">
        <f>(F91*0.2/F91)*365</f>
        <v/>
      </c>
    </row>
    <row r="117">
      <c r="A117" s="36" t="inlineStr">
        <is>
          <t>Cash Conversion Cycle</t>
        </is>
      </c>
      <c r="B117" s="39">
        <f>(2000000/B91)*365+B115-B116</f>
        <v/>
      </c>
      <c r="C117" s="39">
        <f>(2000000/C91)*365+C115-C116</f>
        <v/>
      </c>
      <c r="D117" s="39">
        <f>(2000000/D91)*365+D115-D116</f>
        <v/>
      </c>
      <c r="E117" s="39">
        <f>(2000000/E91)*365+E115-E116</f>
        <v/>
      </c>
      <c r="F117" s="39">
        <f>(2000000/F91)*365+F115-F116</f>
        <v/>
      </c>
    </row>
    <row r="118">
      <c r="A118" s="36" t="inlineStr">
        <is>
          <t>Operating Cash Flow</t>
        </is>
      </c>
      <c r="B118" s="25">
        <f>B96*(1-0.1)</f>
        <v/>
      </c>
      <c r="C118" s="25">
        <f>C96*(1-0.1)</f>
        <v/>
      </c>
      <c r="D118" s="25">
        <f>D96*(1-0.1)</f>
        <v/>
      </c>
      <c r="E118" s="25">
        <f>E96*(1-0.1)</f>
        <v/>
      </c>
      <c r="F118" s="25">
        <f>F96*(1-0.1)</f>
        <v/>
      </c>
    </row>
    <row r="119">
      <c r="A119" s="36" t="inlineStr">
        <is>
          <t>Free Cash Flow</t>
        </is>
      </c>
      <c r="B119" s="25">
        <f>B118-B96*0.2</f>
        <v/>
      </c>
      <c r="C119" s="25">
        <f>C118-C96*0.2</f>
        <v/>
      </c>
      <c r="D119" s="25">
        <f>D118-D96*0.2</f>
        <v/>
      </c>
      <c r="E119" s="25">
        <f>E118-E96*0.2</f>
        <v/>
      </c>
      <c r="F119" s="25">
        <f>F118-F96*0.2</f>
        <v/>
      </c>
    </row>
    <row r="120">
      <c r="A120" s="36" t="inlineStr">
        <is>
          <t>Debt to Equity Ratio</t>
        </is>
      </c>
      <c r="B120" s="38">
        <f>6000000/4000000</f>
        <v/>
      </c>
      <c r="C120" s="38">
        <f>6000000/4000000</f>
        <v/>
      </c>
      <c r="D120" s="38">
        <f>6000000/4000000</f>
        <v/>
      </c>
      <c r="E120" s="38">
        <f>6000000/4000000</f>
        <v/>
      </c>
      <c r="F120" s="38">
        <f>6000000/4000000</f>
        <v/>
      </c>
    </row>
    <row r="123">
      <c r="A123" s="1" t="inlineStr">
        <is>
          <t>Sensitivity Analysis</t>
        </is>
      </c>
    </row>
    <row r="124">
      <c r="A124" s="2" t="inlineStr">
        <is>
          <t>Variable</t>
        </is>
      </c>
      <c r="B124" s="2" t="inlineStr">
        <is>
          <t>Base Case</t>
        </is>
      </c>
      <c r="C124" s="2" t="inlineStr">
        <is>
          <t>-20%</t>
        </is>
      </c>
      <c r="D124" s="2" t="inlineStr">
        <is>
          <t>-10%</t>
        </is>
      </c>
      <c r="E124" s="2" t="inlineStr">
        <is>
          <t>+10%</t>
        </is>
      </c>
      <c r="F124" s="2" t="inlineStr">
        <is>
          <t>+20%</t>
        </is>
      </c>
    </row>
    <row r="125">
      <c r="A125" s="36" t="inlineStr">
        <is>
          <t>Revenue Growth Rate</t>
        </is>
      </c>
      <c r="B125" s="31" t="n">
        <v>0.05</v>
      </c>
      <c r="C125" s="31" t="n">
        <v>0.04000000000000001</v>
      </c>
      <c r="D125" s="31" t="n">
        <v>0.04500000000000001</v>
      </c>
      <c r="E125" s="31" t="n">
        <v>0.05500000000000001</v>
      </c>
      <c r="F125" s="31" t="n">
        <v>0.06</v>
      </c>
    </row>
    <row r="126">
      <c r="A126" s="36" t="inlineStr">
        <is>
          <t>COGS as % of Revenue</t>
        </is>
      </c>
      <c r="B126" s="31" t="n">
        <v>0.65</v>
      </c>
      <c r="C126" s="31" t="n">
        <v>0.52</v>
      </c>
      <c r="D126" s="31" t="n">
        <v>0.5850000000000001</v>
      </c>
      <c r="E126" s="31" t="n">
        <v>0.7150000000000001</v>
      </c>
      <c r="F126" s="31" t="n">
        <v>0.78</v>
      </c>
    </row>
    <row r="127">
      <c r="A127" s="36" t="inlineStr">
        <is>
          <t>Operational Costs</t>
        </is>
      </c>
      <c r="B127" s="29" t="n">
        <v>1000000</v>
      </c>
      <c r="C127" s="29" t="n">
        <v>800000</v>
      </c>
      <c r="D127" s="29" t="n">
        <v>900000</v>
      </c>
      <c r="E127" s="29" t="n">
        <v>1100000</v>
      </c>
      <c r="F127" s="29" t="n">
        <v>1200000</v>
      </c>
    </row>
    <row r="128">
      <c r="A128" s="36" t="inlineStr">
        <is>
          <t>SG&amp;A Expenses</t>
        </is>
      </c>
      <c r="B128" s="29" t="n">
        <v>800000</v>
      </c>
      <c r="C128" s="29" t="n">
        <v>640000</v>
      </c>
      <c r="D128" s="29" t="n">
        <v>720000</v>
      </c>
      <c r="E128" s="29" t="n">
        <v>880000.0000000001</v>
      </c>
      <c r="F128" s="29" t="n">
        <v>960000</v>
      </c>
    </row>
    <row r="129">
      <c r="A129" s="36" t="inlineStr">
        <is>
          <t>Impact on Net Income</t>
        </is>
      </c>
      <c r="B129" s="29" t="n">
        <v>500000</v>
      </c>
      <c r="C129" s="32" t="n">
        <v>350000</v>
      </c>
      <c r="D129" s="32" t="n">
        <v>425000</v>
      </c>
      <c r="E129" s="32" t="n">
        <v>575000</v>
      </c>
      <c r="F129" s="32" t="n">
        <v>650000</v>
      </c>
    </row>
  </sheetData>
  <mergeCells count="4">
    <mergeCell ref="A123:F123"/>
    <mergeCell ref="A1:J1"/>
    <mergeCell ref="A109:F109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50" customWidth="1" min="8" max="8"/>
  </cols>
  <sheetData>
    <row r="1">
      <c r="A1" s="1" t="inlineStr">
        <is>
          <t>Financial Model Assumptions</t>
        </is>
      </c>
    </row>
    <row r="2">
      <c r="A2" s="2" t="inlineStr">
        <is>
          <t>Category</t>
        </is>
      </c>
      <c r="B2" s="2" t="inlineStr">
        <is>
          <t>Assumption</t>
        </is>
      </c>
      <c r="C2" s="2" t="inlineStr">
        <is>
          <t>Year 1</t>
        </is>
      </c>
      <c r="D2" s="2" t="inlineStr">
        <is>
          <t>Year 2</t>
        </is>
      </c>
      <c r="E2" s="2" t="inlineStr">
        <is>
          <t>Year 3</t>
        </is>
      </c>
      <c r="F2" s="2" t="inlineStr">
        <is>
          <t>Year 4</t>
        </is>
      </c>
      <c r="G2" s="2" t="inlineStr">
        <is>
          <t>Year 5</t>
        </is>
      </c>
      <c r="H2" s="2" t="inlineStr">
        <is>
          <t>Notes/Drivers</t>
        </is>
      </c>
    </row>
    <row r="3">
      <c r="A3" s="3" t="inlineStr">
        <is>
          <t>Global Assumptions</t>
        </is>
      </c>
      <c r="B3" s="4" t="inlineStr">
        <is>
          <t>Projection Start Year</t>
        </is>
      </c>
      <c r="C3" s="5" t="inlineStr">
        <is>
          <t>2025</t>
        </is>
      </c>
      <c r="D3" s="5" t="inlineStr">
        <is>
          <t>2026</t>
        </is>
      </c>
      <c r="E3" s="5" t="inlineStr">
        <is>
          <t>2027</t>
        </is>
      </c>
      <c r="F3" s="5" t="inlineStr">
        <is>
          <t>2028</t>
        </is>
      </c>
      <c r="G3" s="5" t="inlineStr">
        <is>
          <t>2029</t>
        </is>
      </c>
      <c r="H3" s="4" t="inlineStr">
        <is>
          <t>Starting year for the financial projections.</t>
        </is>
      </c>
    </row>
    <row r="4">
      <c r="A4" s="6" t="inlineStr">
        <is>
          <t>Global Assumptions</t>
        </is>
      </c>
      <c r="B4" s="4" t="inlineStr">
        <is>
          <t>Projection Period (Years)</t>
        </is>
      </c>
      <c r="C4" s="5" t="inlineStr">
        <is>
          <t>5</t>
        </is>
      </c>
      <c r="D4" s="5" t="inlineStr">
        <is>
          <t>5</t>
        </is>
      </c>
      <c r="E4" s="5" t="inlineStr">
        <is>
          <t>5</t>
        </is>
      </c>
      <c r="F4" s="5" t="inlineStr">
        <is>
          <t>5</t>
        </is>
      </c>
      <c r="G4" s="5" t="inlineStr">
        <is>
          <t>5</t>
        </is>
      </c>
      <c r="H4" s="4" t="inlineStr">
        <is>
          <t>Duration of the forecast.</t>
        </is>
      </c>
    </row>
    <row r="5">
      <c r="A5" s="6" t="inlineStr">
        <is>
          <t>Global Assumptions</t>
        </is>
      </c>
      <c r="B5" s="4" t="inlineStr">
        <is>
          <t>Currency</t>
        </is>
      </c>
      <c r="C5" s="7" t="inlineStr">
        <is>
          <t>USD</t>
        </is>
      </c>
      <c r="D5" s="7" t="inlineStr">
        <is>
          <t>USD</t>
        </is>
      </c>
      <c r="E5" s="7" t="inlineStr">
        <is>
          <t>USD</t>
        </is>
      </c>
      <c r="F5" s="7" t="inlineStr">
        <is>
          <t>USD</t>
        </is>
      </c>
      <c r="G5" s="7" t="inlineStr">
        <is>
          <t>USD</t>
        </is>
      </c>
      <c r="H5" s="4" t="inlineStr">
        <is>
          <t>Reporting currency (e.g., USD, EUR).</t>
        </is>
      </c>
    </row>
    <row r="6">
      <c r="A6" s="6" t="inlineStr">
        <is>
          <t>Global Assumptions</t>
        </is>
      </c>
      <c r="B6" s="4" t="inlineStr">
        <is>
          <t>Inflation Rate (%)</t>
        </is>
      </c>
      <c r="C6" s="8" t="inlineStr">
        <is>
          <t>2.5%</t>
        </is>
      </c>
      <c r="D6" s="8" t="inlineStr">
        <is>
          <t>2.3%</t>
        </is>
      </c>
      <c r="E6" s="8" t="inlineStr">
        <is>
          <t>2.2%</t>
        </is>
      </c>
      <c r="F6" s="8" t="inlineStr">
        <is>
          <t>2.1%</t>
        </is>
      </c>
      <c r="G6" s="8" t="inlineStr">
        <is>
          <t>2.0%</t>
        </is>
      </c>
      <c r="H6" s="4" t="inlineStr">
        <is>
          <t>Assumed general inflation rate.</t>
        </is>
      </c>
    </row>
    <row r="7">
      <c r="A7" s="6" t="inlineStr">
        <is>
          <t>Global Assumptions</t>
        </is>
      </c>
      <c r="B7" s="4" t="inlineStr">
        <is>
          <t>Interest Rate (Base, %)</t>
        </is>
      </c>
      <c r="C7" s="8" t="inlineStr">
        <is>
          <t>4.0%</t>
        </is>
      </c>
      <c r="D7" s="8" t="inlineStr">
        <is>
          <t>4.0%</t>
        </is>
      </c>
      <c r="E7" s="8" t="inlineStr">
        <is>
          <t>4.0%</t>
        </is>
      </c>
      <c r="F7" s="8" t="inlineStr">
        <is>
          <t>4.0%</t>
        </is>
      </c>
      <c r="G7" s="8" t="inlineStr">
        <is>
          <t>4.0%</t>
        </is>
      </c>
      <c r="H7" s="4" t="inlineStr">
        <is>
          <t>Base interest rate for debt calculations.</t>
        </is>
      </c>
    </row>
    <row r="8">
      <c r="A8" s="6" t="inlineStr">
        <is>
          <t>Global Assumptions</t>
        </is>
      </c>
      <c r="B8" s="4" t="inlineStr">
        <is>
          <t>Corporate Tax Rate (%)</t>
        </is>
      </c>
      <c r="C8" s="8" t="inlineStr">
        <is>
          <t>25.0%</t>
        </is>
      </c>
      <c r="D8" s="8" t="inlineStr">
        <is>
          <t>25.0%</t>
        </is>
      </c>
      <c r="E8" s="8" t="inlineStr">
        <is>
          <t>25.0%</t>
        </is>
      </c>
      <c r="F8" s="8" t="inlineStr">
        <is>
          <t>25.0%</t>
        </is>
      </c>
      <c r="G8" s="8" t="inlineStr">
        <is>
          <t>25.0%</t>
        </is>
      </c>
      <c r="H8" s="4" t="inlineStr">
        <is>
          <t>Effective corporate income tax rate.</t>
        </is>
      </c>
    </row>
    <row r="9">
      <c r="A9" s="3" t="inlineStr">
        <is>
          <t>Revenue Assumptions</t>
        </is>
      </c>
      <c r="B9" s="4" t="inlineStr">
        <is>
          <t>Overall Market Growth Rate (%)</t>
        </is>
      </c>
      <c r="C9" s="8" t="inlineStr">
        <is>
          <t>5.0%</t>
        </is>
      </c>
      <c r="D9" s="8" t="inlineStr">
        <is>
          <t>5.2%</t>
        </is>
      </c>
      <c r="E9" s="8" t="inlineStr">
        <is>
          <t>5.4%</t>
        </is>
      </c>
      <c r="F9" s="8" t="inlineStr">
        <is>
          <t>5.6%</t>
        </is>
      </c>
      <c r="G9" s="8" t="inlineStr">
        <is>
          <t>5.8%</t>
        </is>
      </c>
      <c r="H9" s="4" t="inlineStr">
        <is>
          <t>Assumed annual growth rate for the overall skin care market.</t>
        </is>
      </c>
    </row>
    <row r="10">
      <c r="A10" s="6" t="inlineStr">
        <is>
          <t>Revenue Assumptions</t>
        </is>
      </c>
      <c r="B10" s="4" t="inlineStr">
        <is>
          <t>Product Category 1 Growth Rate (%)</t>
        </is>
      </c>
      <c r="C10" s="8" t="inlineStr">
        <is>
          <t>6.0%</t>
        </is>
      </c>
      <c r="D10" s="8" t="inlineStr">
        <is>
          <t>6.5%</t>
        </is>
      </c>
      <c r="E10" s="8" t="inlineStr">
        <is>
          <t>7.0%</t>
        </is>
      </c>
      <c r="F10" s="8" t="inlineStr">
        <is>
          <t>7.5%</t>
        </is>
      </c>
      <c r="G10" s="8" t="inlineStr">
        <is>
          <t>8.0%</t>
        </is>
      </c>
      <c r="H10" s="4" t="inlineStr">
        <is>
          <t>Specific growth rate for Product Category 1.</t>
        </is>
      </c>
    </row>
    <row r="11">
      <c r="A11" s="6" t="inlineStr">
        <is>
          <t>Revenue Assumptions</t>
        </is>
      </c>
      <c r="B11" s="4" t="inlineStr">
        <is>
          <t>Product Category 2 Growth Rate (%)</t>
        </is>
      </c>
      <c r="C11" s="8" t="inlineStr">
        <is>
          <t>4.0%</t>
        </is>
      </c>
      <c r="D11" s="8" t="inlineStr">
        <is>
          <t>4.2%</t>
        </is>
      </c>
      <c r="E11" s="8" t="inlineStr">
        <is>
          <t>4.5%</t>
        </is>
      </c>
      <c r="F11" s="8" t="inlineStr">
        <is>
          <t>4.8%</t>
        </is>
      </c>
      <c r="G11" s="8" t="inlineStr">
        <is>
          <t>5.0%</t>
        </is>
      </c>
      <c r="H11" s="4" t="inlineStr">
        <is>
          <t>Specific growth rate for Product Category 2.</t>
        </is>
      </c>
    </row>
    <row r="12">
      <c r="A12" s="6" t="inlineStr">
        <is>
          <t>Revenue Assumptions</t>
        </is>
      </c>
      <c r="B12" s="4" t="inlineStr">
        <is>
          <t>Channel 1 (DTC) Growth Rate (%)</t>
        </is>
      </c>
      <c r="C12" s="8" t="inlineStr">
        <is>
          <t>8.0%</t>
        </is>
      </c>
      <c r="D12" s="8" t="inlineStr">
        <is>
          <t>9.0%</t>
        </is>
      </c>
      <c r="E12" s="8" t="inlineStr">
        <is>
          <t>10.0%</t>
        </is>
      </c>
      <c r="F12" s="8" t="inlineStr">
        <is>
          <t>11.0%</t>
        </is>
      </c>
      <c r="G12" s="8" t="inlineStr">
        <is>
          <t>12.0%</t>
        </is>
      </c>
      <c r="H12" s="4" t="inlineStr">
        <is>
          <t>Growth rate for Direct-to-Consumer channel.</t>
        </is>
      </c>
    </row>
    <row r="13">
      <c r="A13" s="6" t="inlineStr">
        <is>
          <t>Revenue Assumptions</t>
        </is>
      </c>
      <c r="B13" s="4" t="inlineStr">
        <is>
          <t>Channel 2 (Retail) Growth Rate (%)</t>
        </is>
      </c>
      <c r="C13" s="8" t="inlineStr">
        <is>
          <t>3.0%</t>
        </is>
      </c>
      <c r="D13" s="8" t="inlineStr">
        <is>
          <t>3.2%</t>
        </is>
      </c>
      <c r="E13" s="8" t="inlineStr">
        <is>
          <t>3.5%</t>
        </is>
      </c>
      <c r="F13" s="8" t="inlineStr">
        <is>
          <t>3.8%</t>
        </is>
      </c>
      <c r="G13" s="8" t="inlineStr">
        <is>
          <t>4.0%</t>
        </is>
      </c>
      <c r="H13" s="4" t="inlineStr">
        <is>
          <t>Growth rate for Retail channel.</t>
        </is>
      </c>
    </row>
    <row r="14">
      <c r="A14" s="6" t="inlineStr">
        <is>
          <t>Revenue Assumptions</t>
        </is>
      </c>
      <c r="B14" s="4" t="inlineStr">
        <is>
          <t>Avg. Price Increase per Year (%)</t>
        </is>
      </c>
      <c r="C14" s="8" t="inlineStr">
        <is>
          <t>2.0%</t>
        </is>
      </c>
      <c r="D14" s="8" t="inlineStr">
        <is>
          <t>2.2%</t>
        </is>
      </c>
      <c r="E14" s="8" t="inlineStr">
        <is>
          <t>2.3%</t>
        </is>
      </c>
      <c r="F14" s="8" t="inlineStr">
        <is>
          <t>2.4%</t>
        </is>
      </c>
      <c r="G14" s="8" t="inlineStr">
        <is>
          <t>2.5%</t>
        </is>
      </c>
      <c r="H14" s="4" t="inlineStr">
        <is>
          <t>Assumed average annual price increase across products.</t>
        </is>
      </c>
    </row>
    <row r="15">
      <c r="A15" s="6" t="inlineStr">
        <is>
          <t>Revenue Assumptions</t>
        </is>
      </c>
      <c r="B15" s="4" t="inlineStr">
        <is>
          <t>Seasonality Factor (Q1, Q2, Q3, Q4)</t>
        </is>
      </c>
      <c r="C15" s="7" t="inlineStr">
        <is>
          <t>0.2, 0.3, 0.3, 0.2</t>
        </is>
      </c>
      <c r="D15" s="7" t="inlineStr">
        <is>
          <t>0.2, 0.3, 0.3, 0.2</t>
        </is>
      </c>
      <c r="E15" s="7" t="inlineStr">
        <is>
          <t>0.2, 0.3, 0.3, 0.2</t>
        </is>
      </c>
      <c r="F15" s="7" t="inlineStr">
        <is>
          <t>0.2, 0.3, 0.3, 0.2</t>
        </is>
      </c>
      <c r="G15" s="7" t="inlineStr">
        <is>
          <t>0.2, 0.3, 0.3, 0.2</t>
        </is>
      </c>
      <c r="H15" s="4" t="inlineStr">
        <is>
          <t>Seasonal sales distribution (e.g., 0.2, 0.3, 0.3, 0.2).</t>
        </is>
      </c>
    </row>
    <row r="16">
      <c r="A16" s="3" t="inlineStr">
        <is>
          <t>COGS Assumptions</t>
        </is>
      </c>
      <c r="B16" s="4" t="inlineStr">
        <is>
          <t>Raw Material Cost Increase (%)</t>
        </is>
      </c>
      <c r="C16" s="8" t="inlineStr">
        <is>
          <t>3.0%</t>
        </is>
      </c>
      <c r="D16" s="8" t="inlineStr">
        <is>
          <t>2.8%</t>
        </is>
      </c>
      <c r="E16" s="8" t="inlineStr">
        <is>
          <t>2.7%</t>
        </is>
      </c>
      <c r="F16" s="8" t="inlineStr">
        <is>
          <t>2.6%</t>
        </is>
      </c>
      <c r="G16" s="8" t="inlineStr">
        <is>
          <t>2.5%</t>
        </is>
      </c>
      <c r="H16" s="4" t="inlineStr">
        <is>
          <t>Expected annual increase in raw material costs.</t>
        </is>
      </c>
    </row>
    <row r="17">
      <c r="A17" s="6" t="inlineStr">
        <is>
          <t>COGS Assumptions</t>
        </is>
      </c>
      <c r="B17" s="4" t="inlineStr">
        <is>
          <t>Avg. Ingredient Cost per Unit (Base)</t>
        </is>
      </c>
      <c r="C17" s="9" t="inlineStr">
        <is>
          <t>$2.50</t>
        </is>
      </c>
      <c r="D17" s="9" t="inlineStr">
        <is>
          <t>$2.55</t>
        </is>
      </c>
      <c r="E17" s="9" t="inlineStr">
        <is>
          <t>$2.60</t>
        </is>
      </c>
      <c r="F17" s="9" t="inlineStr">
        <is>
          <t>$2.65</t>
        </is>
      </c>
      <c r="G17" s="9" t="inlineStr">
        <is>
          <t>$2.70</t>
        </is>
      </c>
      <c r="H17" s="4" t="inlineStr">
        <is>
          <t>Average cost of ingredients per unit produced (baseline).</t>
        </is>
      </c>
    </row>
    <row r="18">
      <c r="A18" s="6" t="inlineStr">
        <is>
          <t>COGS Assumptions</t>
        </is>
      </c>
      <c r="B18" s="4" t="inlineStr">
        <is>
          <t>Manufacturing Labor Cost Increase (%)</t>
        </is>
      </c>
      <c r="C18" s="8" t="inlineStr">
        <is>
          <t>3.5%</t>
        </is>
      </c>
      <c r="D18" s="8" t="inlineStr">
        <is>
          <t>3.3%</t>
        </is>
      </c>
      <c r="E18" s="8" t="inlineStr">
        <is>
          <t>3.2%</t>
        </is>
      </c>
      <c r="F18" s="8" t="inlineStr">
        <is>
          <t>3.1%</t>
        </is>
      </c>
      <c r="G18" s="8" t="inlineStr">
        <is>
          <t>3.0%</t>
        </is>
      </c>
      <c r="H18" s="4" t="inlineStr">
        <is>
          <t>Expected annual increase in manufacturing labor wages.</t>
        </is>
      </c>
    </row>
    <row r="19">
      <c r="A19" s="6" t="inlineStr">
        <is>
          <t>COGS Assumptions</t>
        </is>
      </c>
      <c r="B19" s="4" t="inlineStr">
        <is>
          <t>Manufacturing Overhead Rate (% of Direct Labor)</t>
        </is>
      </c>
      <c r="C19" s="8" t="inlineStr">
        <is>
          <t>20.0%</t>
        </is>
      </c>
      <c r="D19" s="8" t="inlineStr">
        <is>
          <t>20.0%</t>
        </is>
      </c>
      <c r="E19" s="8" t="inlineStr">
        <is>
          <t>20.0%</t>
        </is>
      </c>
      <c r="F19" s="8" t="inlineStr">
        <is>
          <t>20.0%</t>
        </is>
      </c>
      <c r="G19" s="8" t="inlineStr">
        <is>
          <t>20.0%</t>
        </is>
      </c>
      <c r="H19" s="4" t="inlineStr">
        <is>
          <t>Overhead applied based on direct labor costs.</t>
        </is>
      </c>
    </row>
    <row r="20">
      <c r="A20" s="6" t="inlineStr">
        <is>
          <t>COGS Assumptions</t>
        </is>
      </c>
      <c r="B20" s="4" t="inlineStr">
        <is>
          <t>Contract Manufacturing Fee (% of Revenue)</t>
        </is>
      </c>
      <c r="C20" s="8" t="inlineStr">
        <is>
          <t>10.0%</t>
        </is>
      </c>
      <c r="D20" s="8" t="inlineStr">
        <is>
          <t>9.5%</t>
        </is>
      </c>
      <c r="E20" s="8" t="inlineStr">
        <is>
          <t>9.0%</t>
        </is>
      </c>
      <c r="F20" s="8" t="inlineStr">
        <is>
          <t>8.5%</t>
        </is>
      </c>
      <c r="G20" s="8" t="inlineStr">
        <is>
          <t>8.0%</t>
        </is>
      </c>
      <c r="H20" s="4" t="inlineStr">
        <is>
          <t>Fee paid to contract manufacturers if applicable.</t>
        </is>
      </c>
    </row>
    <row r="21">
      <c r="A21" s="6" t="inlineStr">
        <is>
          <t>COGS Assumptions</t>
        </is>
      </c>
      <c r="B21" s="4" t="inlineStr">
        <is>
          <t>Quality Control Cost (% of COGS)</t>
        </is>
      </c>
      <c r="C21" s="8" t="inlineStr">
        <is>
          <t>2.0%</t>
        </is>
      </c>
      <c r="D21" s="8" t="inlineStr">
        <is>
          <t>1.9%</t>
        </is>
      </c>
      <c r="E21" s="8" t="inlineStr">
        <is>
          <t>1.8%</t>
        </is>
      </c>
      <c r="F21" s="8" t="inlineStr">
        <is>
          <t>1.7%</t>
        </is>
      </c>
      <c r="G21" s="8" t="inlineStr">
        <is>
          <t>1.6%</t>
        </is>
      </c>
      <c r="H21" s="4" t="inlineStr">
        <is>
          <t>Cost of quality checks as a percentage of COGS.</t>
        </is>
      </c>
    </row>
    <row r="22">
      <c r="A22" s="6" t="inlineStr">
        <is>
          <t>COGS Assumptions</t>
        </is>
      </c>
      <c r="B22" s="4" t="inlineStr">
        <is>
          <t>Yield Loss Rate (%)</t>
        </is>
      </c>
      <c r="C22" s="8" t="inlineStr">
        <is>
          <t>3.0%</t>
        </is>
      </c>
      <c r="D22" s="8" t="inlineStr">
        <is>
          <t>2.8%</t>
        </is>
      </c>
      <c r="E22" s="8" t="inlineStr">
        <is>
          <t>2.6%</t>
        </is>
      </c>
      <c r="F22" s="8" t="inlineStr">
        <is>
          <t>2.4%</t>
        </is>
      </c>
      <c r="G22" s="8" t="inlineStr">
        <is>
          <t>2.2%</t>
        </is>
      </c>
      <c r="H22" s="4" t="inlineStr">
        <is>
          <t>Percentage of products lost during production.</t>
        </is>
      </c>
    </row>
    <row r="23">
      <c r="A23" s="3" t="inlineStr">
        <is>
          <t>Operational Cost Assumptions</t>
        </is>
      </c>
      <c r="B23" s="4" t="inlineStr">
        <is>
          <t>Facility Rent Increase (%)</t>
        </is>
      </c>
      <c r="C23" s="8" t="inlineStr">
        <is>
          <t>3.0%</t>
        </is>
      </c>
      <c r="D23" s="8" t="inlineStr">
        <is>
          <t>3.0%</t>
        </is>
      </c>
      <c r="E23" s="8" t="inlineStr">
        <is>
          <t>3.0%</t>
        </is>
      </c>
      <c r="F23" s="8" t="inlineStr">
        <is>
          <t>3.0%</t>
        </is>
      </c>
      <c r="G23" s="8" t="inlineStr">
        <is>
          <t>3.0%</t>
        </is>
      </c>
      <c r="H23" s="4" t="inlineStr">
        <is>
          <t>Expected annual increase in facility rent.</t>
        </is>
      </c>
    </row>
    <row r="24">
      <c r="A24" s="6" t="inlineStr">
        <is>
          <t>Operational Cost Assumptions</t>
        </is>
      </c>
      <c r="B24" s="4" t="inlineStr">
        <is>
          <t>Utilities Cost Increase (%)</t>
        </is>
      </c>
      <c r="C24" s="8" t="inlineStr">
        <is>
          <t>4.0%</t>
        </is>
      </c>
      <c r="D24" s="8" t="inlineStr">
        <is>
          <t>3.8%</t>
        </is>
      </c>
      <c r="E24" s="8" t="inlineStr">
        <is>
          <t>3.6%</t>
        </is>
      </c>
      <c r="F24" s="8" t="inlineStr">
        <is>
          <t>3.4%</t>
        </is>
      </c>
      <c r="G24" s="8" t="inlineStr">
        <is>
          <t>3.2%</t>
        </is>
      </c>
      <c r="H24" s="4" t="inlineStr">
        <is>
          <t>Expected annual increase in utility costs.</t>
        </is>
      </c>
    </row>
    <row r="25">
      <c r="A25" s="6" t="inlineStr">
        <is>
          <t>Operational Cost Assumptions</t>
        </is>
      </c>
      <c r="B25" s="4" t="inlineStr">
        <is>
          <t>Equipment Maintenance (% of Asset Value)</t>
        </is>
      </c>
      <c r="C25" s="8" t="inlineStr">
        <is>
          <t>2.5%</t>
        </is>
      </c>
      <c r="D25" s="8" t="inlineStr">
        <is>
          <t>2.3%</t>
        </is>
      </c>
      <c r="E25" s="8" t="inlineStr">
        <is>
          <t>2.2%</t>
        </is>
      </c>
      <c r="F25" s="8" t="inlineStr">
        <is>
          <t>2.1%</t>
        </is>
      </c>
      <c r="G25" s="8" t="inlineStr">
        <is>
          <t>2.0%</t>
        </is>
      </c>
      <c r="H25" s="4" t="inlineStr">
        <is>
          <t>Cost of maintaining equipment.</t>
        </is>
      </c>
    </row>
    <row r="26">
      <c r="A26" s="6" t="inlineStr">
        <is>
          <t>Operational Cost Assumptions</t>
        </is>
      </c>
      <c r="B26" s="4" t="inlineStr">
        <is>
          <t>Inventory Holding Cost (% of Inventory Value)</t>
        </is>
      </c>
      <c r="C26" s="8" t="inlineStr">
        <is>
          <t>5.0%</t>
        </is>
      </c>
      <c r="D26" s="8" t="inlineStr">
        <is>
          <t>4.8%</t>
        </is>
      </c>
      <c r="E26" s="8" t="inlineStr">
        <is>
          <t>4.6%</t>
        </is>
      </c>
      <c r="F26" s="8" t="inlineStr">
        <is>
          <t>4.4%</t>
        </is>
      </c>
      <c r="G26" s="8" t="inlineStr">
        <is>
          <t>4.2%</t>
        </is>
      </c>
      <c r="H26" s="4" t="inlineStr">
        <is>
          <t>Cost associated with holding inventory.</t>
        </is>
      </c>
    </row>
    <row r="27">
      <c r="A27" s="6" t="inlineStr">
        <is>
          <t>Operational Cost Assumptions</t>
        </is>
      </c>
      <c r="B27" s="4" t="inlineStr">
        <is>
          <t>Supply Chain Software Cost (Annual)</t>
        </is>
      </c>
      <c r="C27" s="9" t="inlineStr">
        <is>
          <t>$50,000</t>
        </is>
      </c>
      <c r="D27" s="9" t="inlineStr">
        <is>
          <t>$51,250</t>
        </is>
      </c>
      <c r="E27" s="9" t="inlineStr">
        <is>
          <t>$52,500</t>
        </is>
      </c>
      <c r="F27" s="9" t="inlineStr">
        <is>
          <t>$53,750</t>
        </is>
      </c>
      <c r="G27" s="9" t="inlineStr">
        <is>
          <t>$55,000</t>
        </is>
      </c>
      <c r="H27" s="4" t="inlineStr">
        <is>
          <t>Annual cost for supply chain management software.</t>
        </is>
      </c>
    </row>
    <row r="28">
      <c r="A28" s="6" t="inlineStr">
        <is>
          <t>Operational Cost Assumptions</t>
        </is>
      </c>
      <c r="B28" s="4" t="inlineStr">
        <is>
          <t>Sustainability Program Cost (Annual)</t>
        </is>
      </c>
      <c r="C28" s="9" t="inlineStr">
        <is>
          <t>$75,000</t>
        </is>
      </c>
      <c r="D28" s="9" t="inlineStr">
        <is>
          <t>$80,000</t>
        </is>
      </c>
      <c r="E28" s="9" t="inlineStr">
        <is>
          <t>$85,000</t>
        </is>
      </c>
      <c r="F28" s="9" t="inlineStr">
        <is>
          <t>$90,000</t>
        </is>
      </c>
      <c r="G28" s="9" t="inlineStr">
        <is>
          <t>$95,000</t>
        </is>
      </c>
      <c r="H28" s="4" t="inlineStr">
        <is>
          <t>Annual budget for sustainability initiatives.</t>
        </is>
      </c>
    </row>
    <row r="29">
      <c r="A29" s="3" t="inlineStr">
        <is>
          <t>Packaging &amp; Logistics Assumptions</t>
        </is>
      </c>
      <c r="B29" s="4" t="inlineStr">
        <is>
          <t>Packaging Material Cost Increase (%)</t>
        </is>
      </c>
      <c r="C29" s="8" t="inlineStr">
        <is>
          <t>2.5%</t>
        </is>
      </c>
      <c r="D29" s="8" t="inlineStr">
        <is>
          <t>2.4%</t>
        </is>
      </c>
      <c r="E29" s="8" t="inlineStr">
        <is>
          <t>2.3%</t>
        </is>
      </c>
      <c r="F29" s="8" t="inlineStr">
        <is>
          <t>2.2%</t>
        </is>
      </c>
      <c r="G29" s="8" t="inlineStr">
        <is>
          <t>2.1%</t>
        </is>
      </c>
      <c r="H29" s="4" t="inlineStr">
        <is>
          <t>Expected annual increase in packaging material costs.</t>
        </is>
      </c>
    </row>
    <row r="30">
      <c r="A30" s="6" t="inlineStr">
        <is>
          <t>Packaging &amp; Logistics Assumptions</t>
        </is>
      </c>
      <c r="B30" s="4" t="inlineStr">
        <is>
          <t>Warehousing Cost per Sq Ft (Annual)</t>
        </is>
      </c>
      <c r="C30" s="9" t="inlineStr">
        <is>
          <t>$15</t>
        </is>
      </c>
      <c r="D30" s="9" t="inlineStr">
        <is>
          <t>$15.45</t>
        </is>
      </c>
      <c r="E30" s="9" t="inlineStr">
        <is>
          <t>$15.90</t>
        </is>
      </c>
      <c r="F30" s="9" t="inlineStr">
        <is>
          <t>$16.35</t>
        </is>
      </c>
      <c r="G30" s="9" t="inlineStr">
        <is>
          <t>$16.80</t>
        </is>
      </c>
      <c r="H30" s="4" t="inlineStr">
        <is>
          <t>Annual cost per square foot for warehouse space.</t>
        </is>
      </c>
    </row>
    <row r="31">
      <c r="A31" s="6" t="inlineStr">
        <is>
          <t>Packaging &amp; Logistics Assumptions</t>
        </is>
      </c>
      <c r="B31" s="4" t="inlineStr">
        <is>
          <t>Avg. Transportation Cost per Unit</t>
        </is>
      </c>
      <c r="C31" s="9" t="inlineStr">
        <is>
          <t>$0.75</t>
        </is>
      </c>
      <c r="D31" s="9" t="inlineStr">
        <is>
          <t>$0.73</t>
        </is>
      </c>
      <c r="E31" s="9" t="inlineStr">
        <is>
          <t>$0.71</t>
        </is>
      </c>
      <c r="F31" s="9" t="inlineStr">
        <is>
          <t>$0.69</t>
        </is>
      </c>
      <c r="G31" s="9" t="inlineStr">
        <is>
          <t>$0.67</t>
        </is>
      </c>
      <c r="H31" s="4" t="inlineStr">
        <is>
          <t>Average cost to transport one unit of product.</t>
        </is>
      </c>
    </row>
    <row r="32">
      <c r="A32" s="6" t="inlineStr">
        <is>
          <t>Packaging &amp; Logistics Assumptions</t>
        </is>
      </c>
      <c r="B32" s="4" t="inlineStr">
        <is>
          <t>Order Fulfillment Cost per Order</t>
        </is>
      </c>
      <c r="C32" s="9" t="inlineStr">
        <is>
          <t>$3.50</t>
        </is>
      </c>
      <c r="D32" s="9" t="inlineStr">
        <is>
          <t>$3.40</t>
        </is>
      </c>
      <c r="E32" s="9" t="inlineStr">
        <is>
          <t>$3.30</t>
        </is>
      </c>
      <c r="F32" s="9" t="inlineStr">
        <is>
          <t>$3.20</t>
        </is>
      </c>
      <c r="G32" s="9" t="inlineStr">
        <is>
          <t>$3.10</t>
        </is>
      </c>
      <c r="H32" s="4" t="inlineStr">
        <is>
          <t>Cost to process and ship each customer order.</t>
        </is>
      </c>
    </row>
    <row r="33">
      <c r="A33" s="6" t="inlineStr">
        <is>
          <t>Packaging &amp; Logistics Assumptions</t>
        </is>
      </c>
      <c r="B33" s="4" t="inlineStr">
        <is>
          <t>Last-Mile Delivery Cost (% of Revenue)</t>
        </is>
      </c>
      <c r="C33" s="8" t="inlineStr">
        <is>
          <t>2.0%</t>
        </is>
      </c>
      <c r="D33" s="8" t="inlineStr">
        <is>
          <t>1.9%</t>
        </is>
      </c>
      <c r="E33" s="8" t="inlineStr">
        <is>
          <t>1.8%</t>
        </is>
      </c>
      <c r="F33" s="8" t="inlineStr">
        <is>
          <t>1.7%</t>
        </is>
      </c>
      <c r="G33" s="8" t="inlineStr">
        <is>
          <t>1.6%</t>
        </is>
      </c>
      <c r="H33" s="4" t="inlineStr">
        <is>
          <t>Cost of final delivery to customer (esp. for DTC).</t>
        </is>
      </c>
    </row>
    <row r="34">
      <c r="A34" s="6" t="inlineStr">
        <is>
          <t>Packaging &amp; Logistics Assumptions</t>
        </is>
      </c>
      <c r="B34" s="4" t="inlineStr">
        <is>
          <t>Returns Rate (% of Sales)</t>
        </is>
      </c>
      <c r="C34" s="8" t="inlineStr">
        <is>
          <t>5.0%</t>
        </is>
      </c>
      <c r="D34" s="8" t="inlineStr">
        <is>
          <t>4.8%</t>
        </is>
      </c>
      <c r="E34" s="8" t="inlineStr">
        <is>
          <t>4.6%</t>
        </is>
      </c>
      <c r="F34" s="8" t="inlineStr">
        <is>
          <t>4.4%</t>
        </is>
      </c>
      <c r="G34" s="8" t="inlineStr">
        <is>
          <t>4.2%</t>
        </is>
      </c>
      <c r="H34" s="4" t="inlineStr">
        <is>
          <t>Percentage of sales value returned by customers.</t>
        </is>
      </c>
    </row>
    <row r="35">
      <c r="A35" s="6" t="inlineStr">
        <is>
          <t>Packaging &amp; Logistics Assumptions</t>
        </is>
      </c>
      <c r="B35" s="4" t="inlineStr">
        <is>
          <t>Logistics Software Cost (Annual)</t>
        </is>
      </c>
      <c r="C35" s="9" t="inlineStr">
        <is>
          <t>$35,000</t>
        </is>
      </c>
      <c r="D35" s="9" t="inlineStr">
        <is>
          <t>$36,000</t>
        </is>
      </c>
      <c r="E35" s="9" t="inlineStr">
        <is>
          <t>$37,000</t>
        </is>
      </c>
      <c r="F35" s="9" t="inlineStr">
        <is>
          <t>$38,000</t>
        </is>
      </c>
      <c r="G35" s="9" t="inlineStr">
        <is>
          <t>$39,000</t>
        </is>
      </c>
      <c r="H35" s="4" t="inlineStr">
        <is>
          <t>Annual cost for logistics and tracking software.</t>
        </is>
      </c>
    </row>
    <row r="36">
      <c r="A36" s="3" t="inlineStr">
        <is>
          <t>SG&amp;A Assumptions</t>
        </is>
      </c>
      <c r="B36" s="4" t="inlineStr">
        <is>
          <t>Sales Team Size Growth (%)</t>
        </is>
      </c>
      <c r="C36" s="8" t="inlineStr">
        <is>
          <t>5.0%</t>
        </is>
      </c>
      <c r="D36" s="8" t="inlineStr">
        <is>
          <t>4.5%</t>
        </is>
      </c>
      <c r="E36" s="8" t="inlineStr">
        <is>
          <t>4.0%</t>
        </is>
      </c>
      <c r="F36" s="8" t="inlineStr">
        <is>
          <t>3.5%</t>
        </is>
      </c>
      <c r="G36" s="8" t="inlineStr">
        <is>
          <t>3.0%</t>
        </is>
      </c>
      <c r="H36" s="4" t="inlineStr">
        <is>
          <t>Projected growth in the number of sales personnel.</t>
        </is>
      </c>
    </row>
    <row r="37">
      <c r="A37" s="6" t="inlineStr">
        <is>
          <t>SG&amp;A Assumptions</t>
        </is>
      </c>
      <c r="B37" s="4" t="inlineStr">
        <is>
          <t>Avg. Sales Commission Rate (%)</t>
        </is>
      </c>
      <c r="C37" s="8" t="inlineStr">
        <is>
          <t>3.0%</t>
        </is>
      </c>
      <c r="D37" s="8" t="inlineStr">
        <is>
          <t>3.0%</t>
        </is>
      </c>
      <c r="E37" s="8" t="inlineStr">
        <is>
          <t>3.0%</t>
        </is>
      </c>
      <c r="F37" s="8" t="inlineStr">
        <is>
          <t>3.0%</t>
        </is>
      </c>
      <c r="G37" s="8" t="inlineStr">
        <is>
          <t>3.0%</t>
        </is>
      </c>
      <c r="H37" s="4" t="inlineStr">
        <is>
          <t>Average commission paid to sales staff.</t>
        </is>
      </c>
    </row>
    <row r="38">
      <c r="A38" s="6" t="inlineStr">
        <is>
          <t>SG&amp;A Assumptions</t>
        </is>
      </c>
      <c r="B38" s="4" t="inlineStr">
        <is>
          <t>Marketing Budget (% of Revenue)</t>
        </is>
      </c>
      <c r="C38" s="8" t="inlineStr">
        <is>
          <t>12.0%</t>
        </is>
      </c>
      <c r="D38" s="8" t="inlineStr">
        <is>
          <t>11.5%</t>
        </is>
      </c>
      <c r="E38" s="8" t="inlineStr">
        <is>
          <t>11.0%</t>
        </is>
      </c>
      <c r="F38" s="8" t="inlineStr">
        <is>
          <t>10.5%</t>
        </is>
      </c>
      <c r="G38" s="8" t="inlineStr">
        <is>
          <t>10.0%</t>
        </is>
      </c>
      <c r="H38" s="4" t="inlineStr">
        <is>
          <t>Budget allocated to marketing and advertising.</t>
        </is>
      </c>
    </row>
    <row r="39">
      <c r="A39" s="6" t="inlineStr">
        <is>
          <t>SG&amp;A Assumptions</t>
        </is>
      </c>
      <c r="B39" s="4" t="inlineStr">
        <is>
          <t>Admin Staff Headcount Growth (%)</t>
        </is>
      </c>
      <c r="C39" s="8" t="inlineStr">
        <is>
          <t>3.0%</t>
        </is>
      </c>
      <c r="D39" s="8" t="inlineStr">
        <is>
          <t>2.8%</t>
        </is>
      </c>
      <c r="E39" s="8" t="inlineStr">
        <is>
          <t>2.6%</t>
        </is>
      </c>
      <c r="F39" s="8" t="inlineStr">
        <is>
          <t>2.4%</t>
        </is>
      </c>
      <c r="G39" s="8" t="inlineStr">
        <is>
          <t>2.2%</t>
        </is>
      </c>
      <c r="H39" s="4" t="inlineStr">
        <is>
          <t>Projected growth in administrative staff.</t>
        </is>
      </c>
    </row>
    <row r="40">
      <c r="A40" s="6" t="inlineStr">
        <is>
          <t>SG&amp;A Assumptions</t>
        </is>
      </c>
      <c r="B40" s="4" t="inlineStr">
        <is>
          <t>Office Rent Increase (%)</t>
        </is>
      </c>
      <c r="C40" s="8" t="inlineStr">
        <is>
          <t>3.0%</t>
        </is>
      </c>
      <c r="D40" s="8" t="inlineStr">
        <is>
          <t>3.0%</t>
        </is>
      </c>
      <c r="E40" s="8" t="inlineStr">
        <is>
          <t>3.0%</t>
        </is>
      </c>
      <c r="F40" s="8" t="inlineStr">
        <is>
          <t>3.0%</t>
        </is>
      </c>
      <c r="G40" s="8" t="inlineStr">
        <is>
          <t>3.0%</t>
        </is>
      </c>
      <c r="H40" s="4" t="inlineStr">
        <is>
          <t>Expected annual increase in office rent.</t>
        </is>
      </c>
    </row>
    <row r="41">
      <c r="A41" s="6" t="inlineStr">
        <is>
          <t>SG&amp;A Assumptions</t>
        </is>
      </c>
      <c r="B41" s="4" t="inlineStr">
        <is>
          <t>IT Support Cost (Per Employee)</t>
        </is>
      </c>
      <c r="C41" s="9" t="inlineStr">
        <is>
          <t>$1,200</t>
        </is>
      </c>
      <c r="D41" s="9" t="inlineStr">
        <is>
          <t>$1,230</t>
        </is>
      </c>
      <c r="E41" s="9" t="inlineStr">
        <is>
          <t>$1,260</t>
        </is>
      </c>
      <c r="F41" s="9" t="inlineStr">
        <is>
          <t>$1,290</t>
        </is>
      </c>
      <c r="G41" s="9" t="inlineStr">
        <is>
          <t>$1,320</t>
        </is>
      </c>
      <c r="H41" s="4" t="inlineStr">
        <is>
          <t>Annual IT support cost per employee.</t>
        </is>
      </c>
    </row>
    <row r="42">
      <c r="A42" s="6" t="inlineStr">
        <is>
          <t>SG&amp;A Assumptions</t>
        </is>
      </c>
      <c r="B42" s="4" t="inlineStr">
        <is>
          <t>Legal &amp; Accounting Fees (Annual)</t>
        </is>
      </c>
      <c r="C42" s="9" t="inlineStr">
        <is>
          <t>$120,000</t>
        </is>
      </c>
      <c r="D42" s="9" t="inlineStr">
        <is>
          <t>$123,000</t>
        </is>
      </c>
      <c r="E42" s="9" t="inlineStr">
        <is>
          <t>$126,000</t>
        </is>
      </c>
      <c r="F42" s="9" t="inlineStr">
        <is>
          <t>$129,000</t>
        </is>
      </c>
      <c r="G42" s="9" t="inlineStr">
        <is>
          <t>$132,000</t>
        </is>
      </c>
      <c r="H42" s="4" t="inlineStr">
        <is>
          <t>Estimated annual fees for legal and accounting services.</t>
        </is>
      </c>
    </row>
    <row r="43">
      <c r="A43" s="6" t="inlineStr">
        <is>
          <t>SG&amp;A Assumptions</t>
        </is>
      </c>
      <c r="B43" s="4" t="inlineStr">
        <is>
          <t>Travel &amp; Entertainment (% of Revenue)</t>
        </is>
      </c>
      <c r="C43" s="8" t="inlineStr">
        <is>
          <t>1.5%</t>
        </is>
      </c>
      <c r="D43" s="8" t="inlineStr">
        <is>
          <t>1.4%</t>
        </is>
      </c>
      <c r="E43" s="8" t="inlineStr">
        <is>
          <t>1.3%</t>
        </is>
      </c>
      <c r="F43" s="8" t="inlineStr">
        <is>
          <t>1.2%</t>
        </is>
      </c>
      <c r="G43" s="8" t="inlineStr">
        <is>
          <t>1.1%</t>
        </is>
      </c>
      <c r="H43" s="4" t="inlineStr">
        <is>
          <t>Budget for travel and entertainment expenses.</t>
        </is>
      </c>
    </row>
    <row r="44">
      <c r="A44" s="3" t="inlineStr">
        <is>
          <t>R&amp;D Assumptions</t>
        </is>
      </c>
      <c r="B44" s="4" t="inlineStr">
        <is>
          <t>R&amp;D Budget (% of Revenue)</t>
        </is>
      </c>
      <c r="C44" s="8" t="inlineStr">
        <is>
          <t>5.0%</t>
        </is>
      </c>
      <c r="D44" s="8" t="inlineStr">
        <is>
          <t>5.2%</t>
        </is>
      </c>
      <c r="E44" s="8" t="inlineStr">
        <is>
          <t>5.4%</t>
        </is>
      </c>
      <c r="F44" s="8" t="inlineStr">
        <is>
          <t>5.6%</t>
        </is>
      </c>
      <c r="G44" s="8" t="inlineStr">
        <is>
          <t>5.8%</t>
        </is>
      </c>
      <c r="H44" s="4" t="inlineStr">
        <is>
          <t>Budget allocated to research and development.</t>
        </is>
      </c>
    </row>
    <row r="45">
      <c r="A45" s="6" t="inlineStr">
        <is>
          <t>R&amp;D Assumptions</t>
        </is>
      </c>
      <c r="B45" s="4" t="inlineStr">
        <is>
          <t>Avg. Cost per New Product Launch</t>
        </is>
      </c>
      <c r="C45" s="9" t="inlineStr">
        <is>
          <t>$150,000</t>
        </is>
      </c>
      <c r="D45" s="9" t="inlineStr">
        <is>
          <t>$155,000</t>
        </is>
      </c>
      <c r="E45" s="9" t="inlineStr">
        <is>
          <t>$160,000</t>
        </is>
      </c>
      <c r="F45" s="9" t="inlineStr">
        <is>
          <t>$165,000</t>
        </is>
      </c>
      <c r="G45" s="9" t="inlineStr">
        <is>
          <t>$170,000</t>
        </is>
      </c>
      <c r="H45" s="4" t="inlineStr">
        <is>
          <t>Estimated cost to bring a new product to market.</t>
        </is>
      </c>
    </row>
    <row r="46">
      <c r="A46" s="6" t="inlineStr">
        <is>
          <t>R&amp;D Assumptions</t>
        </is>
      </c>
      <c r="B46" s="4" t="inlineStr">
        <is>
          <t>Clinical Trial Cost (Per Trial)</t>
        </is>
      </c>
      <c r="C46" s="9" t="inlineStr">
        <is>
          <t>$75,000</t>
        </is>
      </c>
      <c r="D46" s="9" t="inlineStr">
        <is>
          <t>$77,000</t>
        </is>
      </c>
      <c r="E46" s="9" t="inlineStr">
        <is>
          <t>$79,000</t>
        </is>
      </c>
      <c r="F46" s="9" t="inlineStr">
        <is>
          <t>$81,000</t>
        </is>
      </c>
      <c r="G46" s="9" t="inlineStr">
        <is>
          <t>$83,000</t>
        </is>
      </c>
      <c r="H46" s="4" t="inlineStr">
        <is>
          <t>Cost associated with conducting clinical trials.</t>
        </is>
      </c>
    </row>
    <row r="47">
      <c r="A47" s="6" t="inlineStr">
        <is>
          <t>R&amp;D Assumptions</t>
        </is>
      </c>
      <c r="B47" s="4" t="inlineStr">
        <is>
          <t>Patent Filing Cost (Per Patent)</t>
        </is>
      </c>
      <c r="C47" s="9" t="inlineStr">
        <is>
          <t>$10,000</t>
        </is>
      </c>
      <c r="D47" s="9" t="inlineStr">
        <is>
          <t>$10,200</t>
        </is>
      </c>
      <c r="E47" s="9" t="inlineStr">
        <is>
          <t>$10,400</t>
        </is>
      </c>
      <c r="F47" s="9" t="inlineStr">
        <is>
          <t>$10,600</t>
        </is>
      </c>
      <c r="G47" s="9" t="inlineStr">
        <is>
          <t>$10,800</t>
        </is>
      </c>
      <c r="H47" s="4" t="inlineStr">
        <is>
          <t>Cost to file for patent protection.</t>
        </is>
      </c>
    </row>
    <row r="48">
      <c r="A48" s="6" t="inlineStr">
        <is>
          <t>R&amp;D Assumptions</t>
        </is>
      </c>
      <c r="B48" s="4" t="inlineStr">
        <is>
          <t>Regulatory Compliance Cost (Annual)</t>
        </is>
      </c>
      <c r="C48" s="9" t="inlineStr">
        <is>
          <t>$50,000</t>
        </is>
      </c>
      <c r="D48" s="9" t="inlineStr">
        <is>
          <t>$51,250</t>
        </is>
      </c>
      <c r="E48" s="9" t="inlineStr">
        <is>
          <t>$52,500</t>
        </is>
      </c>
      <c r="F48" s="9" t="inlineStr">
        <is>
          <t>$53,750</t>
        </is>
      </c>
      <c r="G48" s="9" t="inlineStr">
        <is>
          <t>$55,000</t>
        </is>
      </c>
      <c r="H48" s="4" t="inlineStr">
        <is>
          <t>Annual cost for meeting regulatory requirements.</t>
        </is>
      </c>
    </row>
    <row r="49">
      <c r="A49" s="6" t="inlineStr">
        <is>
          <t>R&amp;D Assumptions</t>
        </is>
      </c>
      <c r="B49" s="4" t="inlineStr">
        <is>
          <t>Collaboration/Partnership Costs (Annual)</t>
        </is>
      </c>
      <c r="C49" s="9" t="inlineStr">
        <is>
          <t>$100,000</t>
        </is>
      </c>
      <c r="D49" s="9" t="inlineStr">
        <is>
          <t>$105,000</t>
        </is>
      </c>
      <c r="E49" s="9" t="inlineStr">
        <is>
          <t>$110,000</t>
        </is>
      </c>
      <c r="F49" s="9" t="inlineStr">
        <is>
          <t>$115,000</t>
        </is>
      </c>
      <c r="G49" s="9" t="inlineStr">
        <is>
          <t>$120,000</t>
        </is>
      </c>
      <c r="H49" s="4" t="inlineStr">
        <is>
          <t>Annual costs for R&amp;D collaborations.</t>
        </is>
      </c>
    </row>
    <row r="50">
      <c r="A50" s="3" t="inlineStr">
        <is>
          <t>HR Assumptions</t>
        </is>
      </c>
      <c r="B50" s="4" t="inlineStr">
        <is>
          <t>Avg. Salary Increase (%)</t>
        </is>
      </c>
      <c r="C50" s="8" t="inlineStr">
        <is>
          <t>3.5%</t>
        </is>
      </c>
      <c r="D50" s="8" t="inlineStr">
        <is>
          <t>3.4%</t>
        </is>
      </c>
      <c r="E50" s="8" t="inlineStr">
        <is>
          <t>3.3%</t>
        </is>
      </c>
      <c r="F50" s="8" t="inlineStr">
        <is>
          <t>3.2%</t>
        </is>
      </c>
      <c r="G50" s="8" t="inlineStr">
        <is>
          <t>3.1%</t>
        </is>
      </c>
      <c r="H50" s="4" t="inlineStr">
        <is>
          <t>Average annual salary increase for employees.</t>
        </is>
      </c>
    </row>
    <row r="51">
      <c r="A51" s="6" t="inlineStr">
        <is>
          <t>HR Assumptions</t>
        </is>
      </c>
      <c r="B51" s="4" t="inlineStr">
        <is>
          <t>Employee Benefits Cost (% of Salary)</t>
        </is>
      </c>
      <c r="C51" s="8" t="inlineStr">
        <is>
          <t>25.0%</t>
        </is>
      </c>
      <c r="D51" s="8" t="inlineStr">
        <is>
          <t>25.0%</t>
        </is>
      </c>
      <c r="E51" s="8" t="inlineStr">
        <is>
          <t>25.0%</t>
        </is>
      </c>
      <c r="F51" s="8" t="inlineStr">
        <is>
          <t>25.0%</t>
        </is>
      </c>
      <c r="G51" s="8" t="inlineStr">
        <is>
          <t>25.0%</t>
        </is>
      </c>
      <c r="H51" s="4" t="inlineStr">
        <is>
          <t>Cost of employee benefits (health, retirement, etc.).</t>
        </is>
      </c>
    </row>
    <row r="52">
      <c r="A52" s="6" t="inlineStr">
        <is>
          <t>HR Assumptions</t>
        </is>
      </c>
      <c r="B52" s="4" t="inlineStr">
        <is>
          <t>Training Budget (Per Employee)</t>
        </is>
      </c>
      <c r="C52" s="9" t="inlineStr">
        <is>
          <t>$1,500</t>
        </is>
      </c>
      <c r="D52" s="9" t="inlineStr">
        <is>
          <t>$1,550</t>
        </is>
      </c>
      <c r="E52" s="9" t="inlineStr">
        <is>
          <t>$1,600</t>
        </is>
      </c>
      <c r="F52" s="9" t="inlineStr">
        <is>
          <t>$1,650</t>
        </is>
      </c>
      <c r="G52" s="9" t="inlineStr">
        <is>
          <t>$1,700</t>
        </is>
      </c>
      <c r="H52" s="4" t="inlineStr">
        <is>
          <t>Annual budget for employee training.</t>
        </is>
      </c>
    </row>
    <row r="53">
      <c r="A53" s="6" t="inlineStr">
        <is>
          <t>HR Assumptions</t>
        </is>
      </c>
      <c r="B53" s="4" t="inlineStr">
        <is>
          <t>Recruitment Cost (Per Hire)</t>
        </is>
      </c>
      <c r="C53" s="9" t="inlineStr">
        <is>
          <t>$5,000</t>
        </is>
      </c>
      <c r="D53" s="9" t="inlineStr">
        <is>
          <t>$5,100</t>
        </is>
      </c>
      <c r="E53" s="9" t="inlineStr">
        <is>
          <t>$5,200</t>
        </is>
      </c>
      <c r="F53" s="9" t="inlineStr">
        <is>
          <t>$5,300</t>
        </is>
      </c>
      <c r="G53" s="9" t="inlineStr">
        <is>
          <t>$5,400</t>
        </is>
      </c>
      <c r="H53" s="4" t="inlineStr">
        <is>
          <t>Average cost to recruit a new employee.</t>
        </is>
      </c>
    </row>
    <row r="54">
      <c r="A54" s="6" t="inlineStr">
        <is>
          <t>HR Assumptions</t>
        </is>
      </c>
      <c r="B54" s="4" t="inlineStr">
        <is>
          <t>Employee Turnover Rate (%)</t>
        </is>
      </c>
      <c r="C54" s="8" t="inlineStr">
        <is>
          <t>15.0%</t>
        </is>
      </c>
      <c r="D54" s="8" t="inlineStr">
        <is>
          <t>14.0%</t>
        </is>
      </c>
      <c r="E54" s="8" t="inlineStr">
        <is>
          <t>13.0%</t>
        </is>
      </c>
      <c r="F54" s="8" t="inlineStr">
        <is>
          <t>12.0%</t>
        </is>
      </c>
      <c r="G54" s="8" t="inlineStr">
        <is>
          <t>11.0%</t>
        </is>
      </c>
      <c r="H54" s="4" t="inlineStr">
        <is>
          <t>Rate at which employees leave the company.</t>
        </is>
      </c>
    </row>
    <row r="55">
      <c r="A55" s="6" t="inlineStr">
        <is>
          <t>HR Assumptions</t>
        </is>
      </c>
      <c r="B55" s="4" t="inlineStr">
        <is>
          <t>Temporary Staffing Cost (% of Payroll)</t>
        </is>
      </c>
      <c r="C55" s="8" t="inlineStr">
        <is>
          <t>5.0%</t>
        </is>
      </c>
      <c r="D55" s="8" t="inlineStr">
        <is>
          <t>4.8%</t>
        </is>
      </c>
      <c r="E55" s="8" t="inlineStr">
        <is>
          <t>4.6%</t>
        </is>
      </c>
      <c r="F55" s="8" t="inlineStr">
        <is>
          <t>4.4%</t>
        </is>
      </c>
      <c r="G55" s="8" t="inlineStr">
        <is>
          <t>4.2%</t>
        </is>
      </c>
      <c r="H55" s="4" t="inlineStr">
        <is>
          <t>Cost of using temporary staff during peak times.</t>
        </is>
      </c>
    </row>
    <row r="56">
      <c r="A56" s="3" t="inlineStr">
        <is>
          <t>Capex Assumptions</t>
        </is>
      </c>
      <c r="B56" s="4" t="inlineStr">
        <is>
          <t>Annual Capex Budget (% of Revenue)</t>
        </is>
      </c>
      <c r="C56" s="8" t="inlineStr">
        <is>
          <t>4.0%</t>
        </is>
      </c>
      <c r="D56" s="8" t="inlineStr">
        <is>
          <t>3.8%</t>
        </is>
      </c>
      <c r="E56" s="8" t="inlineStr">
        <is>
          <t>3.6%</t>
        </is>
      </c>
      <c r="F56" s="8" t="inlineStr">
        <is>
          <t>3.4%</t>
        </is>
      </c>
      <c r="G56" s="8" t="inlineStr">
        <is>
          <t>3.2%</t>
        </is>
      </c>
      <c r="H56" s="4" t="inlineStr">
        <is>
          <t>Budget for capital expenditures.</t>
        </is>
      </c>
    </row>
    <row r="57">
      <c r="A57" s="6" t="inlineStr">
        <is>
          <t>Capex Assumptions</t>
        </is>
      </c>
      <c r="B57" s="4" t="inlineStr">
        <is>
          <t>Avg. Equipment Useful Life (Years)</t>
        </is>
      </c>
      <c r="C57" s="5" t="inlineStr">
        <is>
          <t>7</t>
        </is>
      </c>
      <c r="D57" s="5" t="inlineStr">
        <is>
          <t>7</t>
        </is>
      </c>
      <c r="E57" s="5" t="inlineStr">
        <is>
          <t>7</t>
        </is>
      </c>
      <c r="F57" s="5" t="inlineStr">
        <is>
          <t>7</t>
        </is>
      </c>
      <c r="G57" s="5" t="inlineStr">
        <is>
          <t>7</t>
        </is>
      </c>
      <c r="H57" s="4" t="inlineStr">
        <is>
          <t>Expected lifespan of major equipment.</t>
        </is>
      </c>
    </row>
    <row r="58">
      <c r="A58" s="6" t="inlineStr">
        <is>
          <t>Capex Assumptions</t>
        </is>
      </c>
      <c r="B58" s="4" t="inlineStr">
        <is>
          <t>Facility Improvement Budget (Annual)</t>
        </is>
      </c>
      <c r="C58" s="9" t="inlineStr">
        <is>
          <t>$200,000</t>
        </is>
      </c>
      <c r="D58" s="9" t="inlineStr">
        <is>
          <t>$205,000</t>
        </is>
      </c>
      <c r="E58" s="9" t="inlineStr">
        <is>
          <t>$210,000</t>
        </is>
      </c>
      <c r="F58" s="9" t="inlineStr">
        <is>
          <t>$215,000</t>
        </is>
      </c>
      <c r="G58" s="9" t="inlineStr">
        <is>
          <t>$220,000</t>
        </is>
      </c>
      <c r="H58" s="4" t="inlineStr">
        <is>
          <t>Annual budget for improving facilities.</t>
        </is>
      </c>
    </row>
    <row r="59">
      <c r="A59" s="6" t="inlineStr">
        <is>
          <t>Capex Assumptions</t>
        </is>
      </c>
      <c r="B59" s="4" t="inlineStr">
        <is>
          <t>Technology Upgrade Cycle (Years)</t>
        </is>
      </c>
      <c r="C59" s="5" t="inlineStr">
        <is>
          <t>3</t>
        </is>
      </c>
      <c r="D59" s="5" t="inlineStr">
        <is>
          <t>3</t>
        </is>
      </c>
      <c r="E59" s="5" t="inlineStr">
        <is>
          <t>3</t>
        </is>
      </c>
      <c r="F59" s="5" t="inlineStr">
        <is>
          <t>3</t>
        </is>
      </c>
      <c r="G59" s="5" t="inlineStr">
        <is>
          <t>3</t>
        </is>
      </c>
      <c r="H59" s="4" t="inlineStr">
        <is>
          <t>Frequency of major technology system upgrades.</t>
        </is>
      </c>
    </row>
    <row r="60">
      <c r="A60" s="6" t="inlineStr">
        <is>
          <t>Capex Assumptions</t>
        </is>
      </c>
      <c r="B60" s="4" t="inlineStr">
        <is>
          <t>Depreciation Method</t>
        </is>
      </c>
      <c r="C60" s="7" t="inlineStr">
        <is>
          <t>Straight-Line</t>
        </is>
      </c>
      <c r="D60" s="7" t="inlineStr">
        <is>
          <t>Straight-Line</t>
        </is>
      </c>
      <c r="E60" s="7" t="inlineStr">
        <is>
          <t>Straight-Line</t>
        </is>
      </c>
      <c r="F60" s="7" t="inlineStr">
        <is>
          <t>Straight-Line</t>
        </is>
      </c>
      <c r="G60" s="7" t="inlineStr">
        <is>
          <t>Straight-Line</t>
        </is>
      </c>
      <c r="H60" s="4" t="inlineStr">
        <is>
          <t>Method used for depreciation (e.g., Straight-Line).</t>
        </is>
      </c>
    </row>
    <row r="61">
      <c r="A61" s="6" t="inlineStr">
        <is>
          <t>Capex Assumptions</t>
        </is>
      </c>
      <c r="B61" s="4" t="inlineStr">
        <is>
          <t>Maintenance Capex (% of Total Capex)</t>
        </is>
      </c>
      <c r="C61" s="8" t="inlineStr">
        <is>
          <t>30.0%</t>
        </is>
      </c>
      <c r="D61" s="8" t="inlineStr">
        <is>
          <t>28.0%</t>
        </is>
      </c>
      <c r="E61" s="8" t="inlineStr">
        <is>
          <t>26.0%</t>
        </is>
      </c>
      <c r="F61" s="8" t="inlineStr">
        <is>
          <t>24.0%</t>
        </is>
      </c>
      <c r="G61" s="8" t="inlineStr">
        <is>
          <t>22.0%</t>
        </is>
      </c>
      <c r="H61" s="4" t="inlineStr">
        <is>
          <t>Portion of Capex dedicated to maintaining existing assets.</t>
        </is>
      </c>
    </row>
    <row r="62">
      <c r="A62" s="3" t="inlineStr">
        <is>
          <t>Working Capital Assumptions</t>
        </is>
      </c>
      <c r="B62" s="4" t="inlineStr">
        <is>
          <t>Inventory Days - Raw Materials</t>
        </is>
      </c>
      <c r="C62" s="5" t="inlineStr">
        <is>
          <t>45</t>
        </is>
      </c>
      <c r="D62" s="5" t="inlineStr">
        <is>
          <t>43</t>
        </is>
      </c>
      <c r="E62" s="5" t="inlineStr">
        <is>
          <t>40</t>
        </is>
      </c>
      <c r="F62" s="5" t="inlineStr">
        <is>
          <t>38</t>
        </is>
      </c>
      <c r="G62" s="5" t="inlineStr">
        <is>
          <t>35</t>
        </is>
      </c>
      <c r="H62" s="4" t="inlineStr">
        <is>
          <t>Average days raw materials are held.</t>
        </is>
      </c>
    </row>
    <row r="63">
      <c r="A63" s="6" t="inlineStr">
        <is>
          <t>Working Capital Assumptions</t>
        </is>
      </c>
      <c r="B63" s="4" t="inlineStr">
        <is>
          <t>Inventory Days - Finished Goods</t>
        </is>
      </c>
      <c r="C63" s="5" t="inlineStr">
        <is>
          <t>30</t>
        </is>
      </c>
      <c r="D63" s="5" t="inlineStr">
        <is>
          <t>28</t>
        </is>
      </c>
      <c r="E63" s="5" t="inlineStr">
        <is>
          <t>26</t>
        </is>
      </c>
      <c r="F63" s="5" t="inlineStr">
        <is>
          <t>24</t>
        </is>
      </c>
      <c r="G63" s="5" t="inlineStr">
        <is>
          <t>22</t>
        </is>
      </c>
      <c r="H63" s="4" t="inlineStr">
        <is>
          <t>Average days finished goods are held before sale.</t>
        </is>
      </c>
    </row>
    <row r="64">
      <c r="A64" s="6" t="inlineStr">
        <is>
          <t>Working Capital Assumptions</t>
        </is>
      </c>
      <c r="B64" s="4" t="inlineStr">
        <is>
          <t>Accounts Receivable Days</t>
        </is>
      </c>
      <c r="C64" s="5" t="inlineStr">
        <is>
          <t>45</t>
        </is>
      </c>
      <c r="D64" s="5" t="inlineStr">
        <is>
          <t>43</t>
        </is>
      </c>
      <c r="E64" s="5" t="inlineStr">
        <is>
          <t>40</t>
        </is>
      </c>
      <c r="F64" s="5" t="inlineStr">
        <is>
          <t>38</t>
        </is>
      </c>
      <c r="G64" s="5" t="inlineStr">
        <is>
          <t>35</t>
        </is>
      </c>
      <c r="H64" s="4" t="inlineStr">
        <is>
          <t>Average days it takes to collect payment from customers.</t>
        </is>
      </c>
    </row>
    <row r="65">
      <c r="A65" s="6" t="inlineStr">
        <is>
          <t>Working Capital Assumptions</t>
        </is>
      </c>
      <c r="B65" s="4" t="inlineStr">
        <is>
          <t>Accounts Payable Days</t>
        </is>
      </c>
      <c r="C65" s="5" t="inlineStr">
        <is>
          <t>30</t>
        </is>
      </c>
      <c r="D65" s="5" t="inlineStr">
        <is>
          <t>32</t>
        </is>
      </c>
      <c r="E65" s="5" t="inlineStr">
        <is>
          <t>34</t>
        </is>
      </c>
      <c r="F65" s="5" t="inlineStr">
        <is>
          <t>36</t>
        </is>
      </c>
      <c r="G65" s="5" t="inlineStr">
        <is>
          <t>38</t>
        </is>
      </c>
      <c r="H65" s="4" t="inlineStr">
        <is>
          <t>Average days it takes to pay suppliers.</t>
        </is>
      </c>
    </row>
    <row r="66">
      <c r="A66" s="3" t="inlineStr">
        <is>
          <t>Group Assumptions</t>
        </is>
      </c>
      <c r="B66" s="4" t="inlineStr">
        <is>
          <t>Intercompany Sales Markup (%)</t>
        </is>
      </c>
      <c r="C66" s="8" t="inlineStr">
        <is>
          <t>5.0%</t>
        </is>
      </c>
      <c r="D66" s="8" t="inlineStr">
        <is>
          <t>5.0%</t>
        </is>
      </c>
      <c r="E66" s="8" t="inlineStr">
        <is>
          <t>5.0%</t>
        </is>
      </c>
      <c r="F66" s="8" t="inlineStr">
        <is>
          <t>5.0%</t>
        </is>
      </c>
      <c r="G66" s="8" t="inlineStr">
        <is>
          <t>5.0%</t>
        </is>
      </c>
      <c r="H66" s="4" t="inlineStr">
        <is>
          <t>Markup applied to sales between group entities.</t>
        </is>
      </c>
    </row>
    <row r="67">
      <c r="A67" s="6" t="inlineStr">
        <is>
          <t>Group Assumptions</t>
        </is>
      </c>
      <c r="B67" s="4" t="inlineStr">
        <is>
          <t>Transfer Pricing Policy</t>
        </is>
      </c>
      <c r="C67" s="7" t="inlineStr">
        <is>
          <t>Cost-Plus</t>
        </is>
      </c>
      <c r="D67" s="7" t="inlineStr">
        <is>
          <t>Cost-Plus</t>
        </is>
      </c>
      <c r="E67" s="7" t="inlineStr">
        <is>
          <t>Cost-Plus</t>
        </is>
      </c>
      <c r="F67" s="7" t="inlineStr">
        <is>
          <t>Cost-Plus</t>
        </is>
      </c>
      <c r="G67" s="7" t="inlineStr">
        <is>
          <t>Cost-Plus</t>
        </is>
      </c>
      <c r="H67" s="4" t="inlineStr">
        <is>
          <t>Methodology for setting prices on intercompany transactions.</t>
        </is>
      </c>
    </row>
    <row r="68">
      <c r="A68" s="6" t="inlineStr">
        <is>
          <t>Group Assumptions</t>
        </is>
      </c>
      <c r="B68" s="4" t="inlineStr">
        <is>
          <t>Shared Services Allocation Basis</t>
        </is>
      </c>
      <c r="C68" s="7" t="inlineStr">
        <is>
          <t>Revenue-Based</t>
        </is>
      </c>
      <c r="D68" s="7" t="inlineStr">
        <is>
          <t>Revenue-Based</t>
        </is>
      </c>
      <c r="E68" s="7" t="inlineStr">
        <is>
          <t>Revenue-Based</t>
        </is>
      </c>
      <c r="F68" s="7" t="inlineStr">
        <is>
          <t>Revenue-Based</t>
        </is>
      </c>
      <c r="G68" s="7" t="inlineStr">
        <is>
          <t>Revenue-Based</t>
        </is>
      </c>
      <c r="H68" s="4" t="inlineStr">
        <is>
          <t>How shared service costs are allocated (e.g., headcount, revenue).</t>
        </is>
      </c>
    </row>
    <row r="69">
      <c r="A69" s="6" t="inlineStr">
        <is>
          <t>Group Assumptions</t>
        </is>
      </c>
      <c r="B69" s="4" t="inlineStr">
        <is>
          <t>Corporate Overhead Allocation (% of Revenue)</t>
        </is>
      </c>
      <c r="C69" s="8" t="inlineStr">
        <is>
          <t>3.0%</t>
        </is>
      </c>
      <c r="D69" s="8" t="inlineStr">
        <is>
          <t>2.9%</t>
        </is>
      </c>
      <c r="E69" s="8" t="inlineStr">
        <is>
          <t>2.8%</t>
        </is>
      </c>
      <c r="F69" s="8" t="inlineStr">
        <is>
          <t>2.7%</t>
        </is>
      </c>
      <c r="G69" s="8" t="inlineStr">
        <is>
          <t>2.6%</t>
        </is>
      </c>
      <c r="H69" s="4" t="inlineStr">
        <is>
          <t>How corporate overhead costs are distributed.</t>
        </is>
      </c>
    </row>
    <row r="70">
      <c r="A70" s="6" t="inlineStr">
        <is>
          <t>Group Assumptions</t>
        </is>
      </c>
      <c r="B70" s="4" t="inlineStr">
        <is>
          <t>Consolidation Adjustments (Manual Input)</t>
        </is>
      </c>
      <c r="C70" s="7" t="inlineStr">
        <is>
          <t>$0</t>
        </is>
      </c>
      <c r="D70" s="7" t="inlineStr">
        <is>
          <t>$0</t>
        </is>
      </c>
      <c r="E70" s="7" t="inlineStr">
        <is>
          <t>$0</t>
        </is>
      </c>
      <c r="F70" s="7" t="inlineStr">
        <is>
          <t>$0</t>
        </is>
      </c>
      <c r="G70" s="7" t="inlineStr">
        <is>
          <t>$0</t>
        </is>
      </c>
      <c r="H70" s="4" t="inlineStr">
        <is>
          <t>Manual adjustments needed for consolidation.</t>
        </is>
      </c>
    </row>
    <row r="71">
      <c r="A71" s="3" t="inlineStr">
        <is>
          <t>Financial Assumptions</t>
        </is>
      </c>
      <c r="B71" s="4" t="inlineStr">
        <is>
          <t>Debt Interest Rate (%)</t>
        </is>
      </c>
      <c r="C71" s="8" t="inlineStr">
        <is>
          <t>5.5%</t>
        </is>
      </c>
      <c r="D71" s="8" t="inlineStr">
        <is>
          <t>5.4%</t>
        </is>
      </c>
      <c r="E71" s="8" t="inlineStr">
        <is>
          <t>5.3%</t>
        </is>
      </c>
      <c r="F71" s="8" t="inlineStr">
        <is>
          <t>5.2%</t>
        </is>
      </c>
      <c r="G71" s="8" t="inlineStr">
        <is>
          <t>5.1%</t>
        </is>
      </c>
      <c r="H71" s="4" t="inlineStr">
        <is>
          <t>Interest rate applied to company debt.</t>
        </is>
      </c>
    </row>
    <row r="72">
      <c r="A72" s="6" t="inlineStr">
        <is>
          <t>Financial Assumptions</t>
        </is>
      </c>
      <c r="B72" s="4" t="inlineStr">
        <is>
          <t>Foreign Exchange Rate (Specify Currency)</t>
        </is>
      </c>
      <c r="C72" s="8" t="inlineStr">
        <is>
          <t>1.00</t>
        </is>
      </c>
      <c r="D72" s="8" t="inlineStr">
        <is>
          <t>1.00</t>
        </is>
      </c>
      <c r="E72" s="8" t="inlineStr">
        <is>
          <t>1.00</t>
        </is>
      </c>
      <c r="F72" s="8" t="inlineStr">
        <is>
          <t>1.00</t>
        </is>
      </c>
      <c r="G72" s="8" t="inlineStr">
        <is>
          <t>1.00</t>
        </is>
      </c>
      <c r="H72" s="4" t="inlineStr">
        <is>
          <t>Assumed exchange rate for key foreign currency.</t>
        </is>
      </c>
    </row>
    <row r="73">
      <c r="A73" s="6" t="inlineStr">
        <is>
          <t>Financial Assumptions</t>
        </is>
      </c>
      <c r="B73" s="4" t="inlineStr">
        <is>
          <t>Banking Fees (Annual)</t>
        </is>
      </c>
      <c r="C73" s="9" t="inlineStr">
        <is>
          <t>$25,000</t>
        </is>
      </c>
      <c r="D73" s="9" t="inlineStr">
        <is>
          <t>$25,500</t>
        </is>
      </c>
      <c r="E73" s="9" t="inlineStr">
        <is>
          <t>$26,000</t>
        </is>
      </c>
      <c r="F73" s="9" t="inlineStr">
        <is>
          <t>$26,500</t>
        </is>
      </c>
      <c r="G73" s="9" t="inlineStr">
        <is>
          <t>$27,000</t>
        </is>
      </c>
      <c r="H73" s="4" t="inlineStr">
        <is>
          <t>Annual fees paid for banking services.</t>
        </is>
      </c>
    </row>
    <row r="74">
      <c r="A74" s="3" t="inlineStr">
        <is>
          <t>Sustainability &amp; Compliance Assumptions</t>
        </is>
      </c>
      <c r="B74" s="4" t="inlineStr">
        <is>
          <t>Certification Costs (Annual)</t>
        </is>
      </c>
      <c r="C74" s="9" t="inlineStr">
        <is>
          <t>$30,000</t>
        </is>
      </c>
      <c r="D74" s="9" t="inlineStr">
        <is>
          <t>$30,750</t>
        </is>
      </c>
      <c r="E74" s="9" t="inlineStr">
        <is>
          <t>$31,500</t>
        </is>
      </c>
      <c r="F74" s="9" t="inlineStr">
        <is>
          <t>$32,250</t>
        </is>
      </c>
      <c r="G74" s="9" t="inlineStr">
        <is>
          <t>$33,000</t>
        </is>
      </c>
      <c r="H74" s="4" t="inlineStr">
        <is>
          <t>Annual cost for maintaining certifications (organic, cruelty-free).</t>
        </is>
      </c>
    </row>
    <row r="75">
      <c r="A75" s="6" t="inlineStr">
        <is>
          <t>Sustainability &amp; Compliance Assumptions</t>
        </is>
      </c>
      <c r="B75" s="4" t="inlineStr">
        <is>
          <t>Environmental Compliance Fines (Estimate)</t>
        </is>
      </c>
      <c r="C75" s="7" t="inlineStr">
        <is>
          <t>$10,000</t>
        </is>
      </c>
      <c r="D75" s="7" t="inlineStr">
        <is>
          <t>$9,500</t>
        </is>
      </c>
      <c r="E75" s="7" t="inlineStr">
        <is>
          <t>$9,000</t>
        </is>
      </c>
      <c r="F75" s="7" t="inlineStr">
        <is>
          <t>$8,500</t>
        </is>
      </c>
      <c r="G75" s="7" t="inlineStr">
        <is>
          <t>$8,000</t>
        </is>
      </c>
      <c r="H75" s="4" t="inlineStr">
        <is>
          <t>Estimated potential costs for environmental non-compliance.</t>
        </is>
      </c>
    </row>
    <row r="76">
      <c r="A76" s="6" t="inlineStr">
        <is>
          <t>Sustainability &amp; Compliance Assumptions</t>
        </is>
      </c>
      <c r="B76" s="4" t="inlineStr">
        <is>
          <t>Audit Fees (Annual)</t>
        </is>
      </c>
      <c r="C76" s="9" t="inlineStr">
        <is>
          <t>$45,000</t>
        </is>
      </c>
      <c r="D76" s="9" t="inlineStr">
        <is>
          <t>$46,000</t>
        </is>
      </c>
      <c r="E76" s="9" t="inlineStr">
        <is>
          <t>$47,000</t>
        </is>
      </c>
      <c r="F76" s="9" t="inlineStr">
        <is>
          <t>$48,000</t>
        </is>
      </c>
      <c r="G76" s="9" t="inlineStr">
        <is>
          <t>$49,000</t>
        </is>
      </c>
      <c r="H76" s="4" t="inlineStr">
        <is>
          <t>Annual fees for financial and compliance audits.</t>
        </is>
      </c>
    </row>
    <row r="77">
      <c r="A77" s="6" t="inlineStr">
        <is>
          <t>Sustainability &amp; Compliance Assumptions</t>
        </is>
      </c>
      <c r="B77" s="4" t="inlineStr">
        <is>
          <t>CSR Program Budget (Annual)</t>
        </is>
      </c>
      <c r="C77" s="9" t="inlineStr">
        <is>
          <t>$60,000</t>
        </is>
      </c>
      <c r="D77" s="9" t="inlineStr">
        <is>
          <t>$65,000</t>
        </is>
      </c>
      <c r="E77" s="9" t="inlineStr">
        <is>
          <t>$70,000</t>
        </is>
      </c>
      <c r="F77" s="9" t="inlineStr">
        <is>
          <t>$75,000</t>
        </is>
      </c>
      <c r="G77" s="9" t="inlineStr">
        <is>
          <t>$80,000</t>
        </is>
      </c>
      <c r="H77" s="4" t="inlineStr">
        <is>
          <t>Annual budget for corporate social responsibility programs.</t>
        </is>
      </c>
    </row>
    <row r="78">
      <c r="A78" s="6" t="inlineStr">
        <is>
          <t>Sustainability &amp; Compliance Assumptions</t>
        </is>
      </c>
      <c r="B78" s="4" t="inlineStr">
        <is>
          <t>Supply Chain Audit Costs (Annual)</t>
        </is>
      </c>
      <c r="C78" s="9" t="inlineStr">
        <is>
          <t>$25,000</t>
        </is>
      </c>
      <c r="D78" s="9" t="inlineStr">
        <is>
          <t>$25,500</t>
        </is>
      </c>
      <c r="E78" s="9" t="inlineStr">
        <is>
          <t>$26,000</t>
        </is>
      </c>
      <c r="F78" s="9" t="inlineStr">
        <is>
          <t>$26,500</t>
        </is>
      </c>
      <c r="G78" s="9" t="inlineStr">
        <is>
          <t>$27,000</t>
        </is>
      </c>
      <c r="H78" s="4" t="inlineStr">
        <is>
          <t>Annual cost for auditing supply chain partners.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5" customWidth="1" min="3" max="3"/>
    <col width="15" customWidth="1" min="4" max="4"/>
    <col width="1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40" customWidth="1" min="11" max="11"/>
  </cols>
  <sheetData>
    <row r="1">
      <c r="A1" s="1" t="inlineStr">
        <is>
          <t>Operational Costs</t>
        </is>
      </c>
    </row>
    <row r="2">
      <c r="A2" s="10" t="inlineStr">
        <is>
          <t>Cost Category</t>
        </is>
      </c>
      <c r="B2" s="10" t="inlineStr">
        <is>
          <t>Cost Item</t>
        </is>
      </c>
      <c r="C2" s="10" t="inlineStr">
        <is>
          <t>Cost Driver</t>
        </is>
      </c>
      <c r="D2" s="10" t="inlineStr">
        <is>
          <t>Monthly Cost Base</t>
        </is>
      </c>
      <c r="E2" s="10" t="inlineStr">
        <is>
          <t>Units</t>
        </is>
      </c>
      <c r="F2" s="10" t="inlineStr">
        <is>
          <t>Year 1 Total</t>
        </is>
      </c>
      <c r="G2" s="10" t="inlineStr">
        <is>
          <t>Year 2 Total</t>
        </is>
      </c>
      <c r="H2" s="10" t="inlineStr">
        <is>
          <t>Year 3 Total</t>
        </is>
      </c>
      <c r="I2" s="10" t="inlineStr">
        <is>
          <t>Year 4 Total</t>
        </is>
      </c>
      <c r="J2" s="10" t="inlineStr">
        <is>
          <t>Year 5 Total</t>
        </is>
      </c>
      <c r="K2" s="10" t="inlineStr">
        <is>
          <t>Notes</t>
        </is>
      </c>
    </row>
    <row r="3">
      <c r="A3" s="3" t="inlineStr">
        <is>
          <t>Facility Costs</t>
        </is>
      </c>
      <c r="B3" s="4" t="inlineStr">
        <is>
          <t>Rent/Lease</t>
        </is>
      </c>
      <c r="C3" s="6" t="inlineStr">
        <is>
          <t>Square footage × rate with annual increase</t>
        </is>
      </c>
      <c r="D3" s="11">
        <f>Assumptions!C19/12</f>
        <v/>
      </c>
      <c r="E3" s="12" t="inlineStr">
        <is>
          <t>12</t>
        </is>
      </c>
      <c r="F3" s="12">
        <f>D3*E3</f>
        <v/>
      </c>
      <c r="G3" s="12">
        <f>F3*(1+Assumptions!D19)</f>
        <v/>
      </c>
      <c r="H3" s="12">
        <f>G3*(1+Assumptions!E19)</f>
        <v/>
      </c>
      <c r="I3" s="12">
        <f>H3*(1+Assumptions!F19)</f>
        <v/>
      </c>
      <c r="J3" s="12">
        <f>I3*(1+Assumptions!G19)</f>
        <v/>
      </c>
      <c r="K3" s="6" t="inlineStr">
        <is>
          <t>Monthly rent/lease payments for manufacturing and warehouse facilities</t>
        </is>
      </c>
    </row>
    <row r="4">
      <c r="A4" s="6" t="inlineStr">
        <is>
          <t>Facility Costs</t>
        </is>
      </c>
      <c r="B4" s="4" t="inlineStr">
        <is>
          <t>Utilities</t>
        </is>
      </c>
      <c r="C4" s="6" t="inlineStr">
        <is>
          <t>Usage rates × utility prices with annual increase</t>
        </is>
      </c>
      <c r="D4" s="11">
        <f>Assumptions!C20/12</f>
        <v/>
      </c>
      <c r="E4" s="12" t="inlineStr">
        <is>
          <t>12</t>
        </is>
      </c>
      <c r="F4" s="12">
        <f>D4*E4</f>
        <v/>
      </c>
      <c r="G4" s="12">
        <f>F4*(1+Assumptions!D20)</f>
        <v/>
      </c>
      <c r="H4" s="12">
        <f>G4*(1+Assumptions!E20)</f>
        <v/>
      </c>
      <c r="I4" s="12">
        <f>H4*(1+Assumptions!F20)</f>
        <v/>
      </c>
      <c r="J4" s="12">
        <f>I4*(1+Assumptions!G20)</f>
        <v/>
      </c>
      <c r="K4" s="6" t="inlineStr">
        <is>
          <t>Electricity, water, gas, and other utility costs</t>
        </is>
      </c>
    </row>
    <row r="5">
      <c r="A5" s="6" t="inlineStr">
        <is>
          <t>Facility Costs</t>
        </is>
      </c>
      <c r="B5" s="4" t="inlineStr">
        <is>
          <t>Maintenance &amp; Repairs</t>
        </is>
      </c>
      <c r="C5" s="6" t="inlineStr">
        <is>
          <t>Percentage of facility value</t>
        </is>
      </c>
      <c r="D5" s="11">
        <f>Assumptions!C21/12</f>
        <v/>
      </c>
      <c r="E5" s="12" t="inlineStr">
        <is>
          <t>12</t>
        </is>
      </c>
      <c r="F5" s="12">
        <f>D5*E5</f>
        <v/>
      </c>
      <c r="G5" s="12">
        <f>F5*(1+Assumptions!D4)</f>
        <v/>
      </c>
      <c r="H5" s="12">
        <f>G5*(1+Assumptions!E4)</f>
        <v/>
      </c>
      <c r="I5" s="12">
        <f>H5*(1+Assumptions!F4)</f>
        <v/>
      </c>
      <c r="J5" s="12">
        <f>I5*(1+Assumptions!G4)</f>
        <v/>
      </c>
      <c r="K5" s="6" t="inlineStr">
        <is>
          <t>Ongoing maintenance and repairs for facilities</t>
        </is>
      </c>
    </row>
    <row r="6">
      <c r="A6" s="6" t="inlineStr">
        <is>
          <t>Facility Costs</t>
        </is>
      </c>
      <c r="B6" s="4" t="inlineStr">
        <is>
          <t>Property Insurance</t>
        </is>
      </c>
      <c r="C6" s="6" t="inlineStr">
        <is>
          <t>Insurance premium based on asset value</t>
        </is>
      </c>
      <c r="D6" s="11">
        <f>Assumptions!C22/12</f>
        <v/>
      </c>
      <c r="E6" s="12" t="inlineStr">
        <is>
          <t>12</t>
        </is>
      </c>
      <c r="F6" s="12">
        <f>D6*E6</f>
        <v/>
      </c>
      <c r="G6" s="12">
        <f>F6*(1+Assumptions!D4)</f>
        <v/>
      </c>
      <c r="H6" s="12">
        <f>G6*(1+Assumptions!E4)</f>
        <v/>
      </c>
      <c r="I6" s="12">
        <f>H6*(1+Assumptions!F4)</f>
        <v/>
      </c>
      <c r="J6" s="12">
        <f>I6*(1+Assumptions!G4)</f>
        <v/>
      </c>
      <c r="K6" s="6" t="inlineStr">
        <is>
          <t>Insurance coverage for facilities and contents</t>
        </is>
      </c>
    </row>
    <row r="7">
      <c r="A7" s="6" t="inlineStr">
        <is>
          <t>Facility Costs</t>
        </is>
      </c>
      <c r="B7" s="4" t="inlineStr">
        <is>
          <t>Property Taxes</t>
        </is>
      </c>
      <c r="C7" s="6" t="inlineStr">
        <is>
          <t>Local tax rates on property value</t>
        </is>
      </c>
      <c r="D7" s="11">
        <f>Assumptions!C23/12</f>
        <v/>
      </c>
      <c r="E7" s="12" t="inlineStr">
        <is>
          <t>12</t>
        </is>
      </c>
      <c r="F7" s="12">
        <f>D7*E7</f>
        <v/>
      </c>
      <c r="G7" s="12">
        <f>F7*(1+Assumptions!D4)</f>
        <v/>
      </c>
      <c r="H7" s="12">
        <f>G7*(1+Assumptions!E4)</f>
        <v/>
      </c>
      <c r="I7" s="12">
        <f>H7*(1+Assumptions!F4)</f>
        <v/>
      </c>
      <c r="J7" s="12">
        <f>I7*(1+Assumptions!G4)</f>
        <v/>
      </c>
      <c r="K7" s="6" t="inlineStr">
        <is>
          <t>Local property taxes on owned facilities</t>
        </is>
      </c>
    </row>
    <row r="8">
      <c r="A8" s="3" t="inlineStr">
        <is>
          <t>Equipment Costs</t>
        </is>
      </c>
      <c r="B8" s="4" t="inlineStr">
        <is>
          <t>Equipment Maintenance</t>
        </is>
      </c>
      <c r="C8" s="6" t="inlineStr">
        <is>
          <t>Percentage of equipment value</t>
        </is>
      </c>
      <c r="D8" s="11">
        <f>Assumptions!C21/12</f>
        <v/>
      </c>
      <c r="E8" s="12" t="inlineStr">
        <is>
          <t>12</t>
        </is>
      </c>
      <c r="F8" s="12">
        <f>D8*E8</f>
        <v/>
      </c>
      <c r="G8" s="12">
        <f>F8*(1+Assumptions!D21)</f>
        <v/>
      </c>
      <c r="H8" s="12">
        <f>G8*(1+Assumptions!E21)</f>
        <v/>
      </c>
      <c r="I8" s="12">
        <f>H8*(1+Assumptions!F21)</f>
        <v/>
      </c>
      <c r="J8" s="12">
        <f>I8*(1+Assumptions!G21)</f>
        <v/>
      </c>
      <c r="K8" s="6" t="inlineStr">
        <is>
          <t>Regular maintenance of production and packaging equipment</t>
        </is>
      </c>
    </row>
    <row r="9">
      <c r="A9" s="6" t="inlineStr">
        <is>
          <t>Equipment Costs</t>
        </is>
      </c>
      <c r="B9" s="4" t="inlineStr">
        <is>
          <t>Equipment Calibration</t>
        </is>
      </c>
      <c r="C9" s="6" t="inlineStr">
        <is>
          <t>Fixed cost per calibration × frequency</t>
        </is>
      </c>
      <c r="D9" s="11">
        <f>2000</f>
        <v/>
      </c>
      <c r="E9" s="12" t="inlineStr">
        <is>
          <t>4</t>
        </is>
      </c>
      <c r="F9" s="12">
        <f>D9*E9</f>
        <v/>
      </c>
      <c r="G9" s="12">
        <f>F9*(1+Assumptions!D21)</f>
        <v/>
      </c>
      <c r="H9" s="12">
        <f>G9*(1+Assumptions!E21)</f>
        <v/>
      </c>
      <c r="I9" s="12">
        <f>H9*(1+Assumptions!F21)</f>
        <v/>
      </c>
      <c r="J9" s="12">
        <f>I9*(1+Assumptions!G21)</f>
        <v/>
      </c>
      <c r="K9" s="6" t="inlineStr">
        <is>
          <t>Required calibration of precision equipment</t>
        </is>
      </c>
    </row>
    <row r="10">
      <c r="A10" s="6" t="inlineStr">
        <is>
          <t>Equipment Costs</t>
        </is>
      </c>
      <c r="B10" s="4" t="inlineStr">
        <is>
          <t>Small Equipment Purchases</t>
        </is>
      </c>
      <c r="C10" s="6" t="inlineStr">
        <is>
          <t>Replacement cycle for minor equipment</t>
        </is>
      </c>
      <c r="D10" s="11">
        <f>3000</f>
        <v/>
      </c>
      <c r="E10" s="12" t="inlineStr">
        <is>
          <t>2</t>
        </is>
      </c>
      <c r="F10" s="12">
        <f>D10*E10</f>
        <v/>
      </c>
      <c r="G10" s="12">
        <f>F10*(1+Assumptions!D21)</f>
        <v/>
      </c>
      <c r="H10" s="12">
        <f>G10*(1+Assumptions!E21)</f>
        <v/>
      </c>
      <c r="I10" s="12">
        <f>H10*(1+Assumptions!F21)</f>
        <v/>
      </c>
      <c r="J10" s="12">
        <f>I10*(1+Assumptions!G21)</f>
        <v/>
      </c>
      <c r="K10" s="6" t="inlineStr">
        <is>
          <t>Replacement of small equipment items not capitalized</t>
        </is>
      </c>
    </row>
    <row r="11">
      <c r="A11" s="3" t="inlineStr">
        <is>
          <t>Supply Chain Costs</t>
        </is>
      </c>
      <c r="B11" s="4" t="inlineStr">
        <is>
          <t>Supply Chain Software</t>
        </is>
      </c>
      <c r="C11" s="6" t="inlineStr">
        <is>
          <t>Fixed annual cost with increases</t>
        </is>
      </c>
      <c r="D11" s="11">
        <f>Assumptions!C24/12</f>
        <v/>
      </c>
      <c r="E11" s="12" t="inlineStr">
        <is>
          <t>12</t>
        </is>
      </c>
      <c r="F11" s="12">
        <f>D11*E11</f>
        <v/>
      </c>
      <c r="G11" s="12">
        <f>F11*(1+Assumptions!D24)</f>
        <v/>
      </c>
      <c r="H11" s="12">
        <f>G11*(1+Assumptions!E24)</f>
        <v/>
      </c>
      <c r="I11" s="12">
        <f>H11*(1+Assumptions!F24)</f>
        <v/>
      </c>
      <c r="J11" s="12">
        <f>I11*(1+Assumptions!G24)</f>
        <v/>
      </c>
      <c r="K11" s="6" t="inlineStr">
        <is>
          <t>Software licenses for supply chain management systems</t>
        </is>
      </c>
    </row>
    <row r="12">
      <c r="A12" s="6" t="inlineStr">
        <is>
          <t>Supply Chain Costs</t>
        </is>
      </c>
      <c r="B12" s="4" t="inlineStr">
        <is>
          <t>Inventory Management</t>
        </is>
      </c>
      <c r="C12" s="6" t="inlineStr">
        <is>
          <t>Percentage of inventory value</t>
        </is>
      </c>
      <c r="D12" s="11">
        <f>Assumptions!C22/12</f>
        <v/>
      </c>
      <c r="E12" s="12" t="inlineStr">
        <is>
          <t>12</t>
        </is>
      </c>
      <c r="F12" s="12">
        <f>D12*E12</f>
        <v/>
      </c>
      <c r="G12" s="12">
        <f>F12*(1+Assumptions!D4)</f>
        <v/>
      </c>
      <c r="H12" s="12">
        <f>G12*(1+Assumptions!E4)</f>
        <v/>
      </c>
      <c r="I12" s="12">
        <f>H12*(1+Assumptions!F4)</f>
        <v/>
      </c>
      <c r="J12" s="12">
        <f>I12*(1+Assumptions!G4)</f>
        <v/>
      </c>
      <c r="K12" s="6" t="inlineStr">
        <is>
          <t>Costs associated with managing inventory levels</t>
        </is>
      </c>
    </row>
    <row r="13">
      <c r="A13" s="6" t="inlineStr">
        <is>
          <t>Supply Chain Costs</t>
        </is>
      </c>
      <c r="B13" s="4" t="inlineStr">
        <is>
          <t>Warehouse Operations</t>
        </is>
      </c>
      <c r="C13" s="6" t="inlineStr">
        <is>
          <t>Per square foot cost × warehouse size</t>
        </is>
      </c>
      <c r="D13" s="11">
        <f>5000</f>
        <v/>
      </c>
      <c r="E13" s="12" t="inlineStr">
        <is>
          <t>12</t>
        </is>
      </c>
      <c r="F13" s="12">
        <f>D13*E13</f>
        <v/>
      </c>
      <c r="G13" s="12">
        <f>F13*(1+Assumptions!D4)</f>
        <v/>
      </c>
      <c r="H13" s="12">
        <f>G13*(1+Assumptions!E4)</f>
        <v/>
      </c>
      <c r="I13" s="12">
        <f>H13*(1+Assumptions!F4)</f>
        <v/>
      </c>
      <c r="J13" s="12">
        <f>I13*(1+Assumptions!G4)</f>
        <v/>
      </c>
      <c r="K13" s="6" t="inlineStr">
        <is>
          <t>Labor and equipment for warehouse operations</t>
        </is>
      </c>
    </row>
    <row r="14">
      <c r="A14" s="6" t="inlineStr">
        <is>
          <t>Supply Chain Costs</t>
        </is>
      </c>
      <c r="B14" s="4" t="inlineStr">
        <is>
          <t>Supply Chain Consulting</t>
        </is>
      </c>
      <c r="C14" s="6" t="inlineStr">
        <is>
          <t>Project-based consulting fees</t>
        </is>
      </c>
      <c r="D14" s="11">
        <f>2500</f>
        <v/>
      </c>
      <c r="E14" s="12" t="inlineStr">
        <is>
          <t>4</t>
        </is>
      </c>
      <c r="F14" s="12">
        <f>D14*E14</f>
        <v/>
      </c>
      <c r="G14" s="12">
        <f>F14*(1+Assumptions!D4)</f>
        <v/>
      </c>
      <c r="H14" s="12">
        <f>G14*(1+Assumptions!E4)</f>
        <v/>
      </c>
      <c r="I14" s="12">
        <f>H14*(1+Assumptions!F4)</f>
        <v/>
      </c>
      <c r="J14" s="12">
        <f>I14*(1+Assumptions!G4)</f>
        <v/>
      </c>
      <c r="K14" s="6" t="inlineStr">
        <is>
          <t>External supply chain optimization consultants</t>
        </is>
      </c>
    </row>
    <row r="15">
      <c r="A15" s="3" t="inlineStr">
        <is>
          <t>Quality Control Costs</t>
        </is>
      </c>
      <c r="B15" s="4" t="inlineStr">
        <is>
          <t>Quality Testing</t>
        </is>
      </c>
      <c r="C15" s="6" t="inlineStr">
        <is>
          <t>Cost per test × number of batches</t>
        </is>
      </c>
      <c r="D15" s="11">
        <f>4000</f>
        <v/>
      </c>
      <c r="E15" s="12" t="inlineStr">
        <is>
          <t>24</t>
        </is>
      </c>
      <c r="F15" s="12">
        <f>D15*E15</f>
        <v/>
      </c>
      <c r="G15" s="12">
        <f>F15*(1+Assumptions!D4)</f>
        <v/>
      </c>
      <c r="H15" s="12">
        <f>G15*(1+Assumptions!E4)</f>
        <v/>
      </c>
      <c r="I15" s="12">
        <f>H15*(1+Assumptions!F4)</f>
        <v/>
      </c>
      <c r="J15" s="12">
        <f>I15*(1+Assumptions!G4)</f>
        <v/>
      </c>
      <c r="K15" s="6" t="inlineStr">
        <is>
          <t>Laboratory testing of raw materials and finished products</t>
        </is>
      </c>
    </row>
    <row r="16">
      <c r="A16" s="6" t="inlineStr">
        <is>
          <t>Quality Control Costs</t>
        </is>
      </c>
      <c r="B16" s="4" t="inlineStr">
        <is>
          <t>Quality Certifications</t>
        </is>
      </c>
      <c r="C16" s="6" t="inlineStr">
        <is>
          <t>Annual certification fees</t>
        </is>
      </c>
      <c r="D16" s="11">
        <f>1500</f>
        <v/>
      </c>
      <c r="E16" s="12" t="inlineStr">
        <is>
          <t>2</t>
        </is>
      </c>
      <c r="F16" s="12">
        <f>D16*E16</f>
        <v/>
      </c>
      <c r="G16" s="12">
        <f>F16*(1+Assumptions!D4)</f>
        <v/>
      </c>
      <c r="H16" s="12">
        <f>G16*(1+Assumptions!E4)</f>
        <v/>
      </c>
      <c r="I16" s="12">
        <f>H16*(1+Assumptions!F4)</f>
        <v/>
      </c>
      <c r="J16" s="12">
        <f>I16*(1+Assumptions!G4)</f>
        <v/>
      </c>
      <c r="K16" s="6" t="inlineStr">
        <is>
          <t>Industry and regulatory certifications</t>
        </is>
      </c>
    </row>
    <row r="17">
      <c r="A17" s="6" t="inlineStr">
        <is>
          <t>Quality Control Costs</t>
        </is>
      </c>
      <c r="B17" s="4" t="inlineStr">
        <is>
          <t>Quality Staff</t>
        </is>
      </c>
      <c r="C17" s="6" t="inlineStr">
        <is>
          <t>Headcount × average salary</t>
        </is>
      </c>
      <c r="D17" s="11">
        <f>8000</f>
        <v/>
      </c>
      <c r="E17" s="12" t="inlineStr">
        <is>
          <t>5</t>
        </is>
      </c>
      <c r="F17" s="12">
        <f>D17*E17</f>
        <v/>
      </c>
      <c r="G17" s="12">
        <f>F17*(1+Assumptions!D4)</f>
        <v/>
      </c>
      <c r="H17" s="12">
        <f>G17*(1+Assumptions!E4)</f>
        <v/>
      </c>
      <c r="I17" s="12">
        <f>H17*(1+Assumptions!F4)</f>
        <v/>
      </c>
      <c r="J17" s="12">
        <f>I17*(1+Assumptions!G4)</f>
        <v/>
      </c>
      <c r="K17" s="6" t="inlineStr">
        <is>
          <t>Quality assurance and control personnel</t>
        </is>
      </c>
    </row>
    <row r="18">
      <c r="A18" s="3" t="inlineStr">
        <is>
          <t>Sustainability Costs</t>
        </is>
      </c>
      <c r="B18" s="4" t="inlineStr">
        <is>
          <t>Sustainability Program</t>
        </is>
      </c>
      <c r="C18" s="6" t="inlineStr">
        <is>
          <t>Fixed annual budget with increases</t>
        </is>
      </c>
      <c r="D18" s="11">
        <f>Assumptions!C25/12</f>
        <v/>
      </c>
      <c r="E18" s="12" t="inlineStr">
        <is>
          <t>12</t>
        </is>
      </c>
      <c r="F18" s="12">
        <f>D18*E18</f>
        <v/>
      </c>
      <c r="G18" s="12">
        <f>F18*(1+Assumptions!D25)</f>
        <v/>
      </c>
      <c r="H18" s="12">
        <f>G18*(1+Assumptions!E25)</f>
        <v/>
      </c>
      <c r="I18" s="12">
        <f>H18*(1+Assumptions!F25)</f>
        <v/>
      </c>
      <c r="J18" s="12">
        <f>I18*(1+Assumptions!G25)</f>
        <v/>
      </c>
      <c r="K18" s="6" t="inlineStr">
        <is>
          <t>Corporate sustainability initiatives and programs</t>
        </is>
      </c>
    </row>
    <row r="19">
      <c r="A19" s="6" t="inlineStr">
        <is>
          <t>Sustainability Costs</t>
        </is>
      </c>
      <c r="B19" s="4" t="inlineStr">
        <is>
          <t>Waste Management</t>
        </is>
      </c>
      <c r="C19" s="6" t="inlineStr">
        <is>
          <t>Volume of waste × disposal cost</t>
        </is>
      </c>
      <c r="D19" s="11">
        <f>3000</f>
        <v/>
      </c>
      <c r="E19" s="12" t="inlineStr">
        <is>
          <t>12</t>
        </is>
      </c>
      <c r="F19" s="12">
        <f>D19*E19</f>
        <v/>
      </c>
      <c r="G19" s="12">
        <f>F19*(1+Assumptions!D4)</f>
        <v/>
      </c>
      <c r="H19" s="12">
        <f>G19*(1+Assumptions!E4)</f>
        <v/>
      </c>
      <c r="I19" s="12">
        <f>H19*(1+Assumptions!F4)</f>
        <v/>
      </c>
      <c r="J19" s="12">
        <f>I19*(1+Assumptions!G4)</f>
        <v/>
      </c>
      <c r="K19" s="6" t="inlineStr">
        <is>
          <t>Disposal and recycling of production waste</t>
        </is>
      </c>
    </row>
    <row r="20">
      <c r="A20" s="6" t="inlineStr">
        <is>
          <t>Sustainability Costs</t>
        </is>
      </c>
      <c r="B20" s="4" t="inlineStr">
        <is>
          <t>Energy Efficiency Initiatives</t>
        </is>
      </c>
      <c r="C20" s="6" t="inlineStr">
        <is>
          <t>Project-based initiatives</t>
        </is>
      </c>
      <c r="D20" s="11">
        <f>2000</f>
        <v/>
      </c>
      <c r="E20" s="12" t="inlineStr">
        <is>
          <t>4</t>
        </is>
      </c>
      <c r="F20" s="12">
        <f>D20*E20</f>
        <v/>
      </c>
      <c r="G20" s="12">
        <f>F20*(1+Assumptions!D4)</f>
        <v/>
      </c>
      <c r="H20" s="12">
        <f>G20*(1+Assumptions!E4)</f>
        <v/>
      </c>
      <c r="I20" s="12">
        <f>H20*(1+Assumptions!F4)</f>
        <v/>
      </c>
      <c r="J20" s="12">
        <f>I20*(1+Assumptions!G4)</f>
        <v/>
      </c>
      <c r="K20" s="6" t="inlineStr">
        <is>
          <t>Projects to improve energy efficiency</t>
        </is>
      </c>
    </row>
    <row r="21">
      <c r="A21" s="3" t="inlineStr">
        <is>
          <t>Operational Staff Costs</t>
        </is>
      </c>
      <c r="B21" s="4" t="inlineStr">
        <is>
          <t>Production Management</t>
        </is>
      </c>
      <c r="C21" s="6" t="inlineStr">
        <is>
          <t>Headcount × average salary</t>
        </is>
      </c>
      <c r="D21" s="11">
        <f>12000</f>
        <v/>
      </c>
      <c r="E21" s="12" t="inlineStr">
        <is>
          <t>8</t>
        </is>
      </c>
      <c r="F21" s="12">
        <f>D21*E21</f>
        <v/>
      </c>
      <c r="G21" s="12">
        <f>F21*(1+Assumptions!D4)</f>
        <v/>
      </c>
      <c r="H21" s="12">
        <f>G21*(1+Assumptions!E4)</f>
        <v/>
      </c>
      <c r="I21" s="12">
        <f>H21*(1+Assumptions!F4)</f>
        <v/>
      </c>
      <c r="J21" s="12">
        <f>I21*(1+Assumptions!G4)</f>
        <v/>
      </c>
      <c r="K21" s="6" t="inlineStr">
        <is>
          <t>Production managers and supervisors</t>
        </is>
      </c>
    </row>
    <row r="22">
      <c r="A22" s="6" t="inlineStr">
        <is>
          <t>Operational Staff Costs</t>
        </is>
      </c>
      <c r="B22" s="4" t="inlineStr">
        <is>
          <t>Warehouse Staff</t>
        </is>
      </c>
      <c r="C22" s="6" t="inlineStr">
        <is>
          <t>Headcount × average salary</t>
        </is>
      </c>
      <c r="D22" s="11">
        <f>8000</f>
        <v/>
      </c>
      <c r="E22" s="12" t="inlineStr">
        <is>
          <t>15</t>
        </is>
      </c>
      <c r="F22" s="12">
        <f>D22*E22</f>
        <v/>
      </c>
      <c r="G22" s="12">
        <f>F22*(1+Assumptions!D4)</f>
        <v/>
      </c>
      <c r="H22" s="12">
        <f>G22*(1+Assumptions!E4)</f>
        <v/>
      </c>
      <c r="I22" s="12">
        <f>H22*(1+Assumptions!F4)</f>
        <v/>
      </c>
      <c r="J22" s="12">
        <f>I22*(1+Assumptions!G4)</f>
        <v/>
      </c>
      <c r="K22" s="6" t="inlineStr">
        <is>
          <t>Warehouse and logistics personnel</t>
        </is>
      </c>
    </row>
    <row r="23">
      <c r="A23" s="6" t="inlineStr">
        <is>
          <t>Operational Staff Costs</t>
        </is>
      </c>
      <c r="B23" s="4" t="inlineStr">
        <is>
          <t>Operations Support</t>
        </is>
      </c>
      <c r="C23" s="6" t="inlineStr">
        <is>
          <t>Headcount × average salary</t>
        </is>
      </c>
      <c r="D23" s="11">
        <f>6000</f>
        <v/>
      </c>
      <c r="E23" s="12" t="inlineStr">
        <is>
          <t>6</t>
        </is>
      </c>
      <c r="F23" s="12">
        <f>D23*E23</f>
        <v/>
      </c>
      <c r="G23" s="12">
        <f>F23*(1+Assumptions!D4)</f>
        <v/>
      </c>
      <c r="H23" s="12">
        <f>G23*(1+Assumptions!E4)</f>
        <v/>
      </c>
      <c r="I23" s="12">
        <f>H23*(1+Assumptions!F4)</f>
        <v/>
      </c>
      <c r="J23" s="12">
        <f>I23*(1+Assumptions!G4)</f>
        <v/>
      </c>
      <c r="K23" s="6" t="inlineStr">
        <is>
          <t>Operations administrative support staff</t>
        </is>
      </c>
    </row>
    <row r="24">
      <c r="A24" s="6" t="inlineStr">
        <is>
          <t>Operational Staff Costs</t>
        </is>
      </c>
      <c r="B24" s="4" t="inlineStr">
        <is>
          <t>Staff Training</t>
        </is>
      </c>
      <c r="C24" s="6" t="inlineStr">
        <is>
          <t>Training budget per employee</t>
        </is>
      </c>
      <c r="D24" s="11">
        <f>Assumptions!C47/12</f>
        <v/>
      </c>
      <c r="E24" s="12" t="inlineStr">
        <is>
          <t>29</t>
        </is>
      </c>
      <c r="F24" s="12">
        <f>D24*E24</f>
        <v/>
      </c>
      <c r="G24" s="12">
        <f>F24*(1+Assumptions!D4)</f>
        <v/>
      </c>
      <c r="H24" s="12">
        <f>G24*(1+Assumptions!E4)</f>
        <v/>
      </c>
      <c r="I24" s="12">
        <f>H24*(1+Assumptions!F4)</f>
        <v/>
      </c>
      <c r="J24" s="12">
        <f>I24*(1+Assumptions!G4)</f>
        <v/>
      </c>
      <c r="K24" s="6" t="inlineStr">
        <is>
          <t>Ongoing training for operational staff</t>
        </is>
      </c>
    </row>
    <row r="25">
      <c r="A25" s="3" t="inlineStr">
        <is>
          <t>Operational Overhead</t>
        </is>
      </c>
      <c r="B25" s="4" t="inlineStr">
        <is>
          <t>IT Systems (Operations)</t>
        </is>
      </c>
      <c r="C25" s="6" t="inlineStr">
        <is>
          <t>Per user license fees × users</t>
        </is>
      </c>
      <c r="D25" s="11">
        <f>2500</f>
        <v/>
      </c>
      <c r="E25" s="12" t="inlineStr">
        <is>
          <t>20</t>
        </is>
      </c>
      <c r="F25" s="12">
        <f>D25*E25</f>
        <v/>
      </c>
      <c r="G25" s="12">
        <f>F25*(1+Assumptions!D4)</f>
        <v/>
      </c>
      <c r="H25" s="12">
        <f>G25*(1+Assumptions!E4)</f>
        <v/>
      </c>
      <c r="I25" s="12">
        <f>H25*(1+Assumptions!F4)</f>
        <v/>
      </c>
      <c r="J25" s="12">
        <f>I25*(1+Assumptions!G4)</f>
        <v/>
      </c>
      <c r="K25" s="6" t="inlineStr">
        <is>
          <t>Software and hardware for operations</t>
        </is>
      </c>
    </row>
    <row r="26">
      <c r="A26" s="6" t="inlineStr">
        <is>
          <t>Operational Overhead</t>
        </is>
      </c>
      <c r="B26" s="4" t="inlineStr">
        <is>
          <t>Communications</t>
        </is>
      </c>
      <c r="C26" s="6" t="inlineStr">
        <is>
          <t>Fixed monthly costs</t>
        </is>
      </c>
      <c r="D26" s="11">
        <f>1000</f>
        <v/>
      </c>
      <c r="E26" s="12" t="inlineStr">
        <is>
          <t>12</t>
        </is>
      </c>
      <c r="F26" s="12">
        <f>D26*E26</f>
        <v/>
      </c>
      <c r="G26" s="12">
        <f>F26*(1+Assumptions!D4)</f>
        <v/>
      </c>
      <c r="H26" s="12">
        <f>G26*(1+Assumptions!E4)</f>
        <v/>
      </c>
      <c r="I26" s="12">
        <f>H26*(1+Assumptions!F4)</f>
        <v/>
      </c>
      <c r="J26" s="12">
        <f>I26*(1+Assumptions!G4)</f>
        <v/>
      </c>
      <c r="K26" s="6" t="inlineStr">
        <is>
          <t>Phone, internet, and other communication costs</t>
        </is>
      </c>
    </row>
    <row r="27">
      <c r="A27" s="6" t="inlineStr">
        <is>
          <t>Operational Overhead</t>
        </is>
      </c>
      <c r="B27" s="4" t="inlineStr">
        <is>
          <t>Miscellaneous Operational Expenses</t>
        </is>
      </c>
      <c r="C27" s="6" t="inlineStr">
        <is>
          <t>Percentage of total operational costs</t>
        </is>
      </c>
      <c r="D27" s="11">
        <f>0.02*SUM(D4:D26)</f>
        <v/>
      </c>
      <c r="E27" s="12" t="inlineStr">
        <is>
          <t>1</t>
        </is>
      </c>
      <c r="F27" s="12">
        <f>D27*E27</f>
        <v/>
      </c>
      <c r="G27" s="12">
        <f>F27*(1+Assumptions!D4)</f>
        <v/>
      </c>
      <c r="H27" s="12">
        <f>G27*(1+Assumptions!E4)</f>
        <v/>
      </c>
      <c r="I27" s="12">
        <f>H27*(1+Assumptions!F4)</f>
        <v/>
      </c>
      <c r="J27" s="12">
        <f>I27*(1+Assumptions!G4)</f>
        <v/>
      </c>
      <c r="K27" s="6" t="inlineStr">
        <is>
          <t>Miscellaneous expenses related to operations</t>
        </is>
      </c>
    </row>
    <row r="29">
      <c r="A29" s="13" t="inlineStr">
        <is>
          <t>Total Operational Costs</t>
        </is>
      </c>
      <c r="F29" s="14">
        <f>SUM(F3:F28)</f>
        <v/>
      </c>
      <c r="G29" s="14">
        <f>SUM(G3:G28)</f>
        <v/>
      </c>
      <c r="H29" s="14">
        <f>SUM(H3:H28)</f>
        <v/>
      </c>
      <c r="I29" s="14">
        <f>SUM(I3:I28)</f>
        <v/>
      </c>
      <c r="J29" s="14">
        <f>SUM(J3:J28)</f>
        <v/>
      </c>
    </row>
    <row r="31">
      <c r="A31" s="15" t="inlineStr">
        <is>
          <t>Operational Costs as % of Revenue</t>
        </is>
      </c>
      <c r="F31" s="16">
        <f>F29/100000</f>
        <v/>
      </c>
      <c r="G31" s="16">
        <f>G29/100000</f>
        <v/>
      </c>
      <c r="H31" s="16">
        <f>H29/100000</f>
        <v/>
      </c>
      <c r="I31" s="16">
        <f>I29/100000</f>
        <v/>
      </c>
      <c r="J31" s="16">
        <f>J29/100000</f>
        <v/>
      </c>
    </row>
  </sheetData>
  <mergeCells count="3">
    <mergeCell ref="A1:I1"/>
    <mergeCell ref="A29:E29"/>
    <mergeCell ref="A31:E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40" customWidth="1" min="11" max="11"/>
  </cols>
  <sheetData>
    <row r="1">
      <c r="A1" s="1" t="inlineStr">
        <is>
          <t>Cost of Goods Sold (COGS) and Direct Costs</t>
        </is>
      </c>
    </row>
    <row r="2">
      <c r="A2" s="10" t="inlineStr">
        <is>
          <t>Cost Category</t>
        </is>
      </c>
      <c r="B2" s="10" t="inlineStr">
        <is>
          <t>Cost Item</t>
        </is>
      </c>
      <c r="C2" s="10" t="inlineStr">
        <is>
          <t>Cost Driver</t>
        </is>
      </c>
      <c r="D2" s="10" t="inlineStr">
        <is>
          <t>Unit Cost</t>
        </is>
      </c>
      <c r="E2" s="10" t="inlineStr">
        <is>
          <t>Annual Volume</t>
        </is>
      </c>
      <c r="F2" s="10" t="inlineStr">
        <is>
          <t>Year 1 Total</t>
        </is>
      </c>
      <c r="G2" s="10" t="inlineStr">
        <is>
          <t>Year 2 Total</t>
        </is>
      </c>
      <c r="H2" s="10" t="inlineStr">
        <is>
          <t>Year 3 Total</t>
        </is>
      </c>
      <c r="I2" s="10" t="inlineStr">
        <is>
          <t>Year 4 Total</t>
        </is>
      </c>
      <c r="J2" s="10" t="inlineStr">
        <is>
          <t>Year 5 Total</t>
        </is>
      </c>
      <c r="K2" s="10" t="inlineStr">
        <is>
          <t>Notes</t>
        </is>
      </c>
    </row>
    <row r="3">
      <c r="A3" s="3" t="inlineStr">
        <is>
          <t>Raw Materials</t>
        </is>
      </c>
      <c r="B3" s="4" t="inlineStr">
        <is>
          <t>Active Ingredients</t>
        </is>
      </c>
      <c r="C3" s="6" t="inlineStr">
        <is>
          <t>Cost per unit × units produced</t>
        </is>
      </c>
      <c r="D3" s="17" t="inlineStr">
        <is>
          <t>2.50</t>
        </is>
      </c>
      <c r="E3" s="17">
        <f>Assumptions!C15*100000</f>
        <v/>
      </c>
      <c r="F3" s="17">
        <f>D3*E3</f>
        <v/>
      </c>
      <c r="G3" s="17">
        <f>F3*(1+Assumptions!D14)</f>
        <v/>
      </c>
      <c r="H3" s="17">
        <f>G3*(1+Assumptions!E14)</f>
        <v/>
      </c>
      <c r="I3" s="17">
        <f>H3*(1+Assumptions!F14)</f>
        <v/>
      </c>
      <c r="J3" s="17">
        <f>I3*(1+Assumptions!G14)</f>
        <v/>
      </c>
      <c r="K3" s="6" t="inlineStr">
        <is>
          <t>Key functional ingredients with specific skin benefits</t>
        </is>
      </c>
    </row>
    <row r="4">
      <c r="A4" s="6" t="inlineStr">
        <is>
          <t>Raw Materials</t>
        </is>
      </c>
      <c r="B4" s="4" t="inlineStr">
        <is>
          <t>Base Ingredients</t>
        </is>
      </c>
      <c r="C4" s="6" t="inlineStr">
        <is>
          <t>Cost per unit × units produced</t>
        </is>
      </c>
      <c r="D4" s="17" t="inlineStr">
        <is>
          <t>0.75</t>
        </is>
      </c>
      <c r="E4" s="17">
        <f>Assumptions!C15*100000</f>
        <v/>
      </c>
      <c r="F4" s="17">
        <f>D4*E4</f>
        <v/>
      </c>
      <c r="G4" s="17">
        <f>F4*(1+Assumptions!D14)</f>
        <v/>
      </c>
      <c r="H4" s="17">
        <f>G4*(1+Assumptions!E14)</f>
        <v/>
      </c>
      <c r="I4" s="17">
        <f>H4*(1+Assumptions!F14)</f>
        <v/>
      </c>
      <c r="J4" s="17">
        <f>I4*(1+Assumptions!G14)</f>
        <v/>
      </c>
      <c r="K4" s="6" t="inlineStr">
        <is>
          <t>Foundation ingredients that form the product base</t>
        </is>
      </c>
    </row>
    <row r="5">
      <c r="A5" s="6" t="inlineStr">
        <is>
          <t>Raw Materials</t>
        </is>
      </c>
      <c r="B5" s="4" t="inlineStr">
        <is>
          <t>Fragrances</t>
        </is>
      </c>
      <c r="C5" s="6" t="inlineStr">
        <is>
          <t>Cost per unit × units produced</t>
        </is>
      </c>
      <c r="D5" s="17" t="inlineStr">
        <is>
          <t>0.50</t>
        </is>
      </c>
      <c r="E5" s="17">
        <f>Assumptions!C15*100000</f>
        <v/>
      </c>
      <c r="F5" s="17">
        <f>D5*E5</f>
        <v/>
      </c>
      <c r="G5" s="17">
        <f>F5*(1+Assumptions!D14)</f>
        <v/>
      </c>
      <c r="H5" s="17">
        <f>G5*(1+Assumptions!E14)</f>
        <v/>
      </c>
      <c r="I5" s="17">
        <f>H5*(1+Assumptions!F14)</f>
        <v/>
      </c>
      <c r="J5" s="17">
        <f>I5*(1+Assumptions!G14)</f>
        <v/>
      </c>
      <c r="K5" s="6" t="inlineStr">
        <is>
          <t>Scents and aromatic compounds</t>
        </is>
      </c>
    </row>
    <row r="6">
      <c r="A6" s="6" t="inlineStr">
        <is>
          <t>Raw Materials</t>
        </is>
      </c>
      <c r="B6" s="4" t="inlineStr">
        <is>
          <t>Preservatives</t>
        </is>
      </c>
      <c r="C6" s="6" t="inlineStr">
        <is>
          <t>Cost per unit × units produced</t>
        </is>
      </c>
      <c r="D6" s="17" t="inlineStr">
        <is>
          <t>0.25</t>
        </is>
      </c>
      <c r="E6" s="17">
        <f>Assumptions!C15*100000</f>
        <v/>
      </c>
      <c r="F6" s="17">
        <f>D6*E6</f>
        <v/>
      </c>
      <c r="G6" s="17">
        <f>F6*(1+Assumptions!D14)</f>
        <v/>
      </c>
      <c r="H6" s="17">
        <f>G6*(1+Assumptions!E14)</f>
        <v/>
      </c>
      <c r="I6" s="17">
        <f>H6*(1+Assumptions!F14)</f>
        <v/>
      </c>
      <c r="J6" s="17">
        <f>I6*(1+Assumptions!G14)</f>
        <v/>
      </c>
      <c r="K6" s="6" t="inlineStr">
        <is>
          <t>Ingredients that extend shelf life</t>
        </is>
      </c>
    </row>
    <row r="7">
      <c r="A7" s="6" t="inlineStr">
        <is>
          <t>Raw Materials</t>
        </is>
      </c>
      <c r="B7" s="4" t="inlineStr">
        <is>
          <t>Other Additives</t>
        </is>
      </c>
      <c r="C7" s="6" t="inlineStr">
        <is>
          <t>Cost per unit × units produced</t>
        </is>
      </c>
      <c r="D7" s="17" t="inlineStr">
        <is>
          <t>0.35</t>
        </is>
      </c>
      <c r="E7" s="17">
        <f>Assumptions!C15*100000</f>
        <v/>
      </c>
      <c r="F7" s="17">
        <f>D7*E7</f>
        <v/>
      </c>
      <c r="G7" s="17">
        <f>F7*(1+Assumptions!D14)</f>
        <v/>
      </c>
      <c r="H7" s="17">
        <f>G7*(1+Assumptions!E14)</f>
        <v/>
      </c>
      <c r="I7" s="17">
        <f>H7*(1+Assumptions!F14)</f>
        <v/>
      </c>
      <c r="J7" s="17">
        <f>I7*(1+Assumptions!G14)</f>
        <v/>
      </c>
      <c r="K7" s="6" t="inlineStr">
        <is>
          <t>Colorants, thickeners, and other specialty ingredients</t>
        </is>
      </c>
    </row>
    <row r="8">
      <c r="A8" s="3" t="inlineStr">
        <is>
          <t>Packaging Materials</t>
        </is>
      </c>
      <c r="B8" s="4" t="inlineStr">
        <is>
          <t>Primary Packaging</t>
        </is>
      </c>
      <c r="C8" s="6" t="inlineStr">
        <is>
          <t>Cost per unit × units produced</t>
        </is>
      </c>
      <c r="D8" s="17" t="inlineStr">
        <is>
          <t>1.20</t>
        </is>
      </c>
      <c r="E8" s="17">
        <f>Assumptions!C15*100000</f>
        <v/>
      </c>
      <c r="F8" s="17">
        <f>D8*E8</f>
        <v/>
      </c>
      <c r="G8" s="17">
        <f>F8*(1+Assumptions!D14)</f>
        <v/>
      </c>
      <c r="H8" s="17">
        <f>G8*(1+Assumptions!E14)</f>
        <v/>
      </c>
      <c r="I8" s="17">
        <f>H8*(1+Assumptions!F14)</f>
        <v/>
      </c>
      <c r="J8" s="17">
        <f>I8*(1+Assumptions!G14)</f>
        <v/>
      </c>
      <c r="K8" s="6" t="inlineStr">
        <is>
          <t>Bottles, jars, tubes, pumps that directly contain product</t>
        </is>
      </c>
    </row>
    <row r="9">
      <c r="A9" s="6" t="inlineStr">
        <is>
          <t>Packaging Materials</t>
        </is>
      </c>
      <c r="B9" s="4" t="inlineStr">
        <is>
          <t>Secondary Packaging</t>
        </is>
      </c>
      <c r="C9" s="6" t="inlineStr">
        <is>
          <t>Cost per unit × units produced</t>
        </is>
      </c>
      <c r="D9" s="17" t="inlineStr">
        <is>
          <t>0.60</t>
        </is>
      </c>
      <c r="E9" s="17">
        <f>Assumptions!C15*100000</f>
        <v/>
      </c>
      <c r="F9" s="17">
        <f>D9*E9</f>
        <v/>
      </c>
      <c r="G9" s="17">
        <f>F9*(1+Assumptions!D14)</f>
        <v/>
      </c>
      <c r="H9" s="17">
        <f>G9*(1+Assumptions!E14)</f>
        <v/>
      </c>
      <c r="I9" s="17">
        <f>H9*(1+Assumptions!F14)</f>
        <v/>
      </c>
      <c r="J9" s="17">
        <f>I9*(1+Assumptions!G14)</f>
        <v/>
      </c>
      <c r="K9" s="6" t="inlineStr">
        <is>
          <t>Boxes, cartons, and outer packaging</t>
        </is>
      </c>
    </row>
    <row r="10">
      <c r="A10" s="6" t="inlineStr">
        <is>
          <t>Packaging Materials</t>
        </is>
      </c>
      <c r="B10" s="4" t="inlineStr">
        <is>
          <t>Labels &amp; Printing</t>
        </is>
      </c>
      <c r="C10" s="6" t="inlineStr">
        <is>
          <t>Cost per unit × units produced</t>
        </is>
      </c>
      <c r="D10" s="17" t="inlineStr">
        <is>
          <t>0.25</t>
        </is>
      </c>
      <c r="E10" s="17">
        <f>Assumptions!C15*100000</f>
        <v/>
      </c>
      <c r="F10" s="17">
        <f>D10*E10</f>
        <v/>
      </c>
      <c r="G10" s="17">
        <f>F10*(1+Assumptions!D14)</f>
        <v/>
      </c>
      <c r="H10" s="17">
        <f>G10*(1+Assumptions!E14)</f>
        <v/>
      </c>
      <c r="I10" s="17">
        <f>H10*(1+Assumptions!F14)</f>
        <v/>
      </c>
      <c r="J10" s="17">
        <f>I10*(1+Assumptions!G14)</f>
        <v/>
      </c>
      <c r="K10" s="6" t="inlineStr">
        <is>
          <t>Product information, branding, and regulatory labeling</t>
        </is>
      </c>
    </row>
    <row r="11">
      <c r="A11" s="6" t="inlineStr">
        <is>
          <t>Packaging Materials</t>
        </is>
      </c>
      <c r="B11" s="4" t="inlineStr">
        <is>
          <t>Shipping Materials</t>
        </is>
      </c>
      <c r="C11" s="6" t="inlineStr">
        <is>
          <t>Cost per unit × units produced</t>
        </is>
      </c>
      <c r="D11" s="17" t="inlineStr">
        <is>
          <t>0.15</t>
        </is>
      </c>
      <c r="E11" s="17">
        <f>Assumptions!C15*100000</f>
        <v/>
      </c>
      <c r="F11" s="17">
        <f>D11*E11</f>
        <v/>
      </c>
      <c r="G11" s="17">
        <f>F11*(1+Assumptions!D14)</f>
        <v/>
      </c>
      <c r="H11" s="17">
        <f>G11*(1+Assumptions!E14)</f>
        <v/>
      </c>
      <c r="I11" s="17">
        <f>H11*(1+Assumptions!F14)</f>
        <v/>
      </c>
      <c r="J11" s="17">
        <f>I11*(1+Assumptions!G14)</f>
        <v/>
      </c>
      <c r="K11" s="6" t="inlineStr">
        <is>
          <t>Materials for safe product shipping</t>
        </is>
      </c>
    </row>
    <row r="12">
      <c r="A12" s="3" t="inlineStr">
        <is>
          <t>Direct Labor</t>
        </is>
      </c>
      <c r="B12" s="4" t="inlineStr">
        <is>
          <t>Production Line Workers</t>
        </is>
      </c>
      <c r="C12" s="6" t="inlineStr">
        <is>
          <t>Hourly rate × hours per unit × units produced</t>
        </is>
      </c>
      <c r="D12" s="17" t="inlineStr">
        <is>
          <t>0.80</t>
        </is>
      </c>
      <c r="E12" s="17">
        <f>Assumptions!C15*100000</f>
        <v/>
      </c>
      <c r="F12" s="17">
        <f>D12*E12</f>
        <v/>
      </c>
      <c r="G12" s="17">
        <f>F12*(1+Assumptions!D14)</f>
        <v/>
      </c>
      <c r="H12" s="17">
        <f>G12*(1+Assumptions!E14)</f>
        <v/>
      </c>
      <c r="I12" s="17">
        <f>H12*(1+Assumptions!F14)</f>
        <v/>
      </c>
      <c r="J12" s="17">
        <f>I12*(1+Assumptions!G14)</f>
        <v/>
      </c>
      <c r="K12" s="6" t="inlineStr">
        <is>
          <t>Workers directly involved in product manufacturing</t>
        </is>
      </c>
    </row>
    <row r="13">
      <c r="A13" s="6" t="inlineStr">
        <is>
          <t>Direct Labor</t>
        </is>
      </c>
      <c r="B13" s="4" t="inlineStr">
        <is>
          <t>Quality Inspectors</t>
        </is>
      </c>
      <c r="C13" s="6" t="inlineStr">
        <is>
          <t>Hourly rate × hours per unit × units produced</t>
        </is>
      </c>
      <c r="D13" s="17" t="inlineStr">
        <is>
          <t>0.30</t>
        </is>
      </c>
      <c r="E13" s="17">
        <f>Assumptions!C15*100000</f>
        <v/>
      </c>
      <c r="F13" s="17">
        <f>D13*E13</f>
        <v/>
      </c>
      <c r="G13" s="17">
        <f>F13*(1+Assumptions!D14)</f>
        <v/>
      </c>
      <c r="H13" s="17">
        <f>G13*(1+Assumptions!E14)</f>
        <v/>
      </c>
      <c r="I13" s="17">
        <f>H13*(1+Assumptions!F14)</f>
        <v/>
      </c>
      <c r="J13" s="17">
        <f>I13*(1+Assumptions!G14)</f>
        <v/>
      </c>
      <c r="K13" s="6" t="inlineStr">
        <is>
          <t>Staff dedicated to quality inspection during production</t>
        </is>
      </c>
    </row>
    <row r="14">
      <c r="A14" s="6" t="inlineStr">
        <is>
          <t>Direct Labor</t>
        </is>
      </c>
      <c r="B14" s="4" t="inlineStr">
        <is>
          <t>Material Handlers</t>
        </is>
      </c>
      <c r="C14" s="6" t="inlineStr">
        <is>
          <t>Hourly rate × hours per unit × units produced</t>
        </is>
      </c>
      <c r="D14" s="17" t="inlineStr">
        <is>
          <t>0.20</t>
        </is>
      </c>
      <c r="E14" s="17">
        <f>Assumptions!C15*100000</f>
        <v/>
      </c>
      <c r="F14" s="17">
        <f>D14*E14</f>
        <v/>
      </c>
      <c r="G14" s="17">
        <f>F14*(1+Assumptions!D14)</f>
        <v/>
      </c>
      <c r="H14" s="17">
        <f>G14*(1+Assumptions!E14)</f>
        <v/>
      </c>
      <c r="I14" s="17">
        <f>H14*(1+Assumptions!F14)</f>
        <v/>
      </c>
      <c r="J14" s="17">
        <f>I14*(1+Assumptions!G14)</f>
        <v/>
      </c>
      <c r="K14" s="6" t="inlineStr">
        <is>
          <t>Workers handling materials and inventory on production floor</t>
        </is>
      </c>
    </row>
    <row r="15">
      <c r="A15" s="3" t="inlineStr">
        <is>
          <t>Manufacturing Overhead</t>
        </is>
      </c>
      <c r="B15" s="4" t="inlineStr">
        <is>
          <t>Production Supervision</t>
        </is>
      </c>
      <c r="C15" s="6" t="inlineStr">
        <is>
          <t>Salary × headcount</t>
        </is>
      </c>
      <c r="D15" s="17" t="inlineStr">
        <is>
          <t>0.40</t>
        </is>
      </c>
      <c r="E15" s="17" t="inlineStr">
        <is>
          <t>12</t>
        </is>
      </c>
      <c r="F15" s="17">
        <f>D15*E15</f>
        <v/>
      </c>
      <c r="G15" s="17">
        <f>F15*(1+Assumptions!D14)</f>
        <v/>
      </c>
      <c r="H15" s="17">
        <f>G15*(1+Assumptions!E14)</f>
        <v/>
      </c>
      <c r="I15" s="17">
        <f>H15*(1+Assumptions!F14)</f>
        <v/>
      </c>
      <c r="J15" s="17">
        <f>I15*(1+Assumptions!G14)</f>
        <v/>
      </c>
      <c r="K15" s="6" t="inlineStr">
        <is>
          <t>Production managers and supervisors</t>
        </is>
      </c>
    </row>
    <row r="16">
      <c r="A16" s="6" t="inlineStr">
        <is>
          <t>Manufacturing Overhead</t>
        </is>
      </c>
      <c r="B16" s="4" t="inlineStr">
        <is>
          <t>Manufacturing Utilities</t>
        </is>
      </c>
      <c r="C16" s="6" t="inlineStr">
        <is>
          <t>Usage rates × utility prices</t>
        </is>
      </c>
      <c r="D16" s="17" t="inlineStr">
        <is>
          <t>0.25</t>
        </is>
      </c>
      <c r="E16" s="17" t="inlineStr">
        <is>
          <t>12</t>
        </is>
      </c>
      <c r="F16" s="17">
        <f>D16*E16</f>
        <v/>
      </c>
      <c r="G16" s="17">
        <f>F16*(1+Assumptions!D14)</f>
        <v/>
      </c>
      <c r="H16" s="17">
        <f>G16*(1+Assumptions!E14)</f>
        <v/>
      </c>
      <c r="I16" s="17">
        <f>H16*(1+Assumptions!F14)</f>
        <v/>
      </c>
      <c r="J16" s="17">
        <f>I16*(1+Assumptions!G14)</f>
        <v/>
      </c>
      <c r="K16" s="6" t="inlineStr">
        <is>
          <t>Electricity, water, and other utilities for production</t>
        </is>
      </c>
    </row>
    <row r="17">
      <c r="A17" s="6" t="inlineStr">
        <is>
          <t>Manufacturing Overhead</t>
        </is>
      </c>
      <c r="B17" s="4" t="inlineStr">
        <is>
          <t>Equipment Depreciation</t>
        </is>
      </c>
      <c r="C17" s="6" t="inlineStr">
        <is>
          <t>Equipment value ÷ useful life</t>
        </is>
      </c>
      <c r="D17" s="17" t="inlineStr">
        <is>
          <t>0.35</t>
        </is>
      </c>
      <c r="E17" s="17" t="inlineStr">
        <is>
          <t>1</t>
        </is>
      </c>
      <c r="F17" s="17">
        <f>D17*E17</f>
        <v/>
      </c>
      <c r="G17" s="17">
        <f>F17*(1+Assumptions!D14)</f>
        <v/>
      </c>
      <c r="H17" s="17">
        <f>G17*(1+Assumptions!E14)</f>
        <v/>
      </c>
      <c r="I17" s="17">
        <f>H17*(1+Assumptions!F14)</f>
        <v/>
      </c>
      <c r="J17" s="17">
        <f>I17*(1+Assumptions!G14)</f>
        <v/>
      </c>
      <c r="K17" s="6" t="inlineStr">
        <is>
          <t>Allocation of equipment cost over its useful life</t>
        </is>
      </c>
    </row>
    <row r="18">
      <c r="A18" s="6" t="inlineStr">
        <is>
          <t>Manufacturing Overhead</t>
        </is>
      </c>
      <c r="B18" s="4" t="inlineStr">
        <is>
          <t>Production Supplies</t>
        </is>
      </c>
      <c r="C18" s="6" t="inlineStr">
        <is>
          <t>Cost per production run × number of runs</t>
        </is>
      </c>
      <c r="D18" s="17" t="inlineStr">
        <is>
          <t>0.15</t>
        </is>
      </c>
      <c r="E18" s="17" t="inlineStr">
        <is>
          <t>52</t>
        </is>
      </c>
      <c r="F18" s="17">
        <f>D18*E18</f>
        <v/>
      </c>
      <c r="G18" s="17">
        <f>F18*(1+Assumptions!D14)</f>
        <v/>
      </c>
      <c r="H18" s="17">
        <f>G18*(1+Assumptions!E14)</f>
        <v/>
      </c>
      <c r="I18" s="17">
        <f>H18*(1+Assumptions!F14)</f>
        <v/>
      </c>
      <c r="J18" s="17">
        <f>I18*(1+Assumptions!G14)</f>
        <v/>
      </c>
      <c r="K18" s="6" t="inlineStr">
        <is>
          <t>Gloves, cleaning supplies, and other production consumables</t>
        </is>
      </c>
    </row>
    <row r="19">
      <c r="A19" s="3" t="inlineStr">
        <is>
          <t>Contract Manufacturing</t>
        </is>
      </c>
      <c r="B19" s="4" t="inlineStr">
        <is>
          <t>Contract Manufacturing Fees</t>
        </is>
      </c>
      <c r="C19" s="6" t="inlineStr">
        <is>
          <t>Fee per unit × units outsourced</t>
        </is>
      </c>
      <c r="D19" s="17" t="inlineStr">
        <is>
          <t>1.50</t>
        </is>
      </c>
      <c r="E19" s="17">
        <f>Assumptions!C15*100000*0.2</f>
        <v/>
      </c>
      <c r="F19" s="17">
        <f>D19*E19</f>
        <v/>
      </c>
      <c r="G19" s="17">
        <f>F19*(1+Assumptions!D14)</f>
        <v/>
      </c>
      <c r="H19" s="17">
        <f>G19*(1+Assumptions!E14)</f>
        <v/>
      </c>
      <c r="I19" s="17">
        <f>H19*(1+Assumptions!F14)</f>
        <v/>
      </c>
      <c r="J19" s="17">
        <f>I19*(1+Assumptions!G14)</f>
        <v/>
      </c>
      <c r="K19" s="6" t="inlineStr">
        <is>
          <t>Fees paid to third-party manufacturers for production</t>
        </is>
      </c>
    </row>
    <row r="20">
      <c r="A20" s="6" t="inlineStr">
        <is>
          <t>Contract Manufacturing</t>
        </is>
      </c>
      <c r="B20" s="4" t="inlineStr">
        <is>
          <t>Formulation Services</t>
        </is>
      </c>
      <c r="C20" s="6" t="inlineStr">
        <is>
          <t>Fixed fee per formulation × number of formulations</t>
        </is>
      </c>
      <c r="D20" s="17" t="inlineStr">
        <is>
          <t>0.30</t>
        </is>
      </c>
      <c r="E20" s="17" t="inlineStr">
        <is>
          <t>10</t>
        </is>
      </c>
      <c r="F20" s="17">
        <f>D20*E20</f>
        <v/>
      </c>
      <c r="G20" s="17">
        <f>F20*(1+Assumptions!D14)</f>
        <v/>
      </c>
      <c r="H20" s="17">
        <f>G20*(1+Assumptions!E14)</f>
        <v/>
      </c>
      <c r="I20" s="17">
        <f>H20*(1+Assumptions!F14)</f>
        <v/>
      </c>
      <c r="J20" s="17">
        <f>I20*(1+Assumptions!G14)</f>
        <v/>
      </c>
      <c r="K20" s="6" t="inlineStr">
        <is>
          <t>Costs for external formulation development services</t>
        </is>
      </c>
    </row>
    <row r="21">
      <c r="A21" s="3" t="inlineStr">
        <is>
          <t>Quality Control</t>
        </is>
      </c>
      <c r="B21" s="4" t="inlineStr">
        <is>
          <t>Raw Material Testing</t>
        </is>
      </c>
      <c r="C21" s="6" t="inlineStr">
        <is>
          <t>Cost per test × number of tests</t>
        </is>
      </c>
      <c r="D21" s="17" t="inlineStr">
        <is>
          <t>0.20</t>
        </is>
      </c>
      <c r="E21" s="17">
        <f>Assumptions!C15*100000*0.1</f>
        <v/>
      </c>
      <c r="F21" s="17">
        <f>D21*E21</f>
        <v/>
      </c>
      <c r="G21" s="17">
        <f>F21*(1+Assumptions!D14)</f>
        <v/>
      </c>
      <c r="H21" s="17">
        <f>G21*(1+Assumptions!E14)</f>
        <v/>
      </c>
      <c r="I21" s="17">
        <f>H21*(1+Assumptions!F14)</f>
        <v/>
      </c>
      <c r="J21" s="17">
        <f>I21*(1+Assumptions!G14)</f>
        <v/>
      </c>
      <c r="K21" s="6" t="inlineStr">
        <is>
          <t>Laboratory testing of incoming raw materials</t>
        </is>
      </c>
    </row>
    <row r="22">
      <c r="A22" s="6" t="inlineStr">
        <is>
          <t>Quality Control</t>
        </is>
      </c>
      <c r="B22" s="4" t="inlineStr">
        <is>
          <t>In-Process Testing</t>
        </is>
      </c>
      <c r="C22" s="6" t="inlineStr">
        <is>
          <t>Cost per test × number of tests</t>
        </is>
      </c>
      <c r="D22" s="17" t="inlineStr">
        <is>
          <t>0.15</t>
        </is>
      </c>
      <c r="E22" s="17">
        <f>Assumptions!C15*100000*0.05</f>
        <v/>
      </c>
      <c r="F22" s="17">
        <f>D22*E22</f>
        <v/>
      </c>
      <c r="G22" s="17">
        <f>F22*(1+Assumptions!D14)</f>
        <v/>
      </c>
      <c r="H22" s="17">
        <f>G22*(1+Assumptions!E14)</f>
        <v/>
      </c>
      <c r="I22" s="17">
        <f>H22*(1+Assumptions!F14)</f>
        <v/>
      </c>
      <c r="J22" s="17">
        <f>I22*(1+Assumptions!G14)</f>
        <v/>
      </c>
      <c r="K22" s="6" t="inlineStr">
        <is>
          <t>Testing during the production process</t>
        </is>
      </c>
    </row>
    <row r="23">
      <c r="A23" s="6" t="inlineStr">
        <is>
          <t>Quality Control</t>
        </is>
      </c>
      <c r="B23" s="4" t="inlineStr">
        <is>
          <t>Finished Product Testing</t>
        </is>
      </c>
      <c r="C23" s="6" t="inlineStr">
        <is>
          <t>Cost per test × number of tests</t>
        </is>
      </c>
      <c r="D23" s="17" t="inlineStr">
        <is>
          <t>0.25</t>
        </is>
      </c>
      <c r="E23" s="17">
        <f>Assumptions!C15*100000*0.1</f>
        <v/>
      </c>
      <c r="F23" s="17">
        <f>D23*E23</f>
        <v/>
      </c>
      <c r="G23" s="17">
        <f>F23*(1+Assumptions!D14)</f>
        <v/>
      </c>
      <c r="H23" s="17">
        <f>G23*(1+Assumptions!E14)</f>
        <v/>
      </c>
      <c r="I23" s="17">
        <f>H23*(1+Assumptions!F14)</f>
        <v/>
      </c>
      <c r="J23" s="17">
        <f>I23*(1+Assumptions!G14)</f>
        <v/>
      </c>
      <c r="K23" s="6" t="inlineStr">
        <is>
          <t>Final product quality verification testing</t>
        </is>
      </c>
    </row>
    <row r="24">
      <c r="A24" s="3" t="inlineStr">
        <is>
          <t>Freight &amp; Logistics (Inbound)</t>
        </is>
      </c>
      <c r="B24" s="4" t="inlineStr">
        <is>
          <t>Raw Material Freight</t>
        </is>
      </c>
      <c r="C24" s="6" t="inlineStr">
        <is>
          <t>Freight cost per shipment × number of shipments</t>
        </is>
      </c>
      <c r="D24" s="17" t="inlineStr">
        <is>
          <t>0.18</t>
        </is>
      </c>
      <c r="E24" s="17" t="inlineStr">
        <is>
          <t>52</t>
        </is>
      </c>
      <c r="F24" s="17">
        <f>D24*E24</f>
        <v/>
      </c>
      <c r="G24" s="17">
        <f>F24*(1+Assumptions!D14)</f>
        <v/>
      </c>
      <c r="H24" s="17">
        <f>G24*(1+Assumptions!E14)</f>
        <v/>
      </c>
      <c r="I24" s="17">
        <f>H24*(1+Assumptions!F14)</f>
        <v/>
      </c>
      <c r="J24" s="17">
        <f>I24*(1+Assumptions!G14)</f>
        <v/>
      </c>
      <c r="K24" s="6" t="inlineStr">
        <is>
          <t>Transportation costs for raw material delivery</t>
        </is>
      </c>
    </row>
    <row r="25">
      <c r="A25" s="6" t="inlineStr">
        <is>
          <t>Freight &amp; Logistics (Inbound)</t>
        </is>
      </c>
      <c r="B25" s="4" t="inlineStr">
        <is>
          <t>Import Duties &amp; Customs</t>
        </is>
      </c>
      <c r="C25" s="6" t="inlineStr">
        <is>
          <t>Percentage of imported material value</t>
        </is>
      </c>
      <c r="D25" s="17" t="inlineStr">
        <is>
          <t>0.12</t>
        </is>
      </c>
      <c r="E25" s="17">
        <f>Assumptions!C15*100000*0.3</f>
        <v/>
      </c>
      <c r="F25" s="17">
        <f>D25*E25</f>
        <v/>
      </c>
      <c r="G25" s="17">
        <f>F25*(1+Assumptions!D14)</f>
        <v/>
      </c>
      <c r="H25" s="17">
        <f>G25*(1+Assumptions!E14)</f>
        <v/>
      </c>
      <c r="I25" s="17">
        <f>H25*(1+Assumptions!F14)</f>
        <v/>
      </c>
      <c r="J25" s="17">
        <f>I25*(1+Assumptions!G14)</f>
        <v/>
      </c>
      <c r="K25" s="6" t="inlineStr">
        <is>
          <t>Taxes and fees for imported materials</t>
        </is>
      </c>
    </row>
    <row r="26">
      <c r="A26" s="6" t="inlineStr">
        <is>
          <t>Freight &amp; Logistics (Inbound)</t>
        </is>
      </c>
      <c r="B26" s="4" t="inlineStr">
        <is>
          <t>Inbound Logistics Management</t>
        </is>
      </c>
      <c r="C26" s="6" t="inlineStr">
        <is>
          <t>Fixed monthly cost</t>
        </is>
      </c>
      <c r="D26" s="17" t="inlineStr">
        <is>
          <t>0.10</t>
        </is>
      </c>
      <c r="E26" s="17" t="inlineStr">
        <is>
          <t>12</t>
        </is>
      </c>
      <c r="F26" s="17">
        <f>D26*E26</f>
        <v/>
      </c>
      <c r="G26" s="17">
        <f>F26*(1+Assumptions!D14)</f>
        <v/>
      </c>
      <c r="H26" s="17">
        <f>G26*(1+Assumptions!E14)</f>
        <v/>
      </c>
      <c r="I26" s="17">
        <f>H26*(1+Assumptions!F14)</f>
        <v/>
      </c>
      <c r="J26" s="17">
        <f>I26*(1+Assumptions!G14)</f>
        <v/>
      </c>
      <c r="K26" s="6" t="inlineStr">
        <is>
          <t>Costs for managing inbound logistics operations</t>
        </is>
      </c>
    </row>
    <row r="28">
      <c r="A28" s="13" t="inlineStr">
        <is>
          <t>Total COGS</t>
        </is>
      </c>
      <c r="F28" s="18">
        <f>SUM(F3:F27)</f>
        <v/>
      </c>
      <c r="G28" s="18">
        <f>SUM(G3:G27)</f>
        <v/>
      </c>
      <c r="H28" s="18">
        <f>SUM(H3:H27)</f>
        <v/>
      </c>
      <c r="I28" s="18">
        <f>SUM(I3:I27)</f>
        <v/>
      </c>
      <c r="J28" s="18">
        <f>SUM(J3:J27)</f>
        <v/>
      </c>
    </row>
    <row r="30">
      <c r="A30" s="15" t="inlineStr">
        <is>
          <t>COGS per Unit</t>
        </is>
      </c>
      <c r="F30" s="19">
        <f>F28/100000</f>
        <v/>
      </c>
      <c r="G30" s="19">
        <f>G28/100000</f>
        <v/>
      </c>
      <c r="H30" s="19">
        <f>H28/100000</f>
        <v/>
      </c>
      <c r="I30" s="19">
        <f>I28/100000</f>
        <v/>
      </c>
      <c r="J30" s="19">
        <f>J28/100000</f>
        <v/>
      </c>
    </row>
    <row r="32">
      <c r="A32" s="15" t="inlineStr">
        <is>
          <t>COGS as % of Revenue</t>
        </is>
      </c>
      <c r="F32" s="16">
        <f>F28/100000</f>
        <v/>
      </c>
      <c r="G32" s="16">
        <f>G28/100000</f>
        <v/>
      </c>
      <c r="H32" s="16">
        <f>H28/100000</f>
        <v/>
      </c>
      <c r="I32" s="16">
        <f>I28/100000</f>
        <v/>
      </c>
      <c r="J32" s="16">
        <f>J28/100000</f>
        <v/>
      </c>
    </row>
  </sheetData>
  <mergeCells count="4">
    <mergeCell ref="A1:I1"/>
    <mergeCell ref="A28:C28"/>
    <mergeCell ref="A32:C32"/>
    <mergeCell ref="A30:C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40" customWidth="1" min="10" max="10"/>
  </cols>
  <sheetData>
    <row r="1">
      <c r="A1" s="1" t="inlineStr">
        <is>
          <t>Selling, General &amp; Administrative (SG&amp;A) Expenses</t>
        </is>
      </c>
    </row>
    <row r="2">
      <c r="A2" s="10" t="inlineStr">
        <is>
          <t>Cost Category</t>
        </is>
      </c>
      <c r="B2" s="10" t="inlineStr">
        <is>
          <t>Cost Item</t>
        </is>
      </c>
      <c r="C2" s="10" t="inlineStr">
        <is>
          <t>Cost Driver</t>
        </is>
      </c>
      <c r="D2" s="10" t="inlineStr">
        <is>
          <t>Annual Cost Base</t>
        </is>
      </c>
      <c r="E2" s="10" t="inlineStr">
        <is>
          <t>Year 1 Total</t>
        </is>
      </c>
      <c r="F2" s="10" t="inlineStr">
        <is>
          <t>Year 2 Total</t>
        </is>
      </c>
      <c r="G2" s="10" t="inlineStr">
        <is>
          <t>Year 3 Total</t>
        </is>
      </c>
      <c r="H2" s="10" t="inlineStr">
        <is>
          <t>Year 4 Total</t>
        </is>
      </c>
      <c r="I2" s="10" t="inlineStr">
        <is>
          <t>Year 5 Total</t>
        </is>
      </c>
      <c r="J2" s="10" t="inlineStr">
        <is>
          <t>Notes</t>
        </is>
      </c>
    </row>
    <row r="3">
      <c r="A3" s="3" t="inlineStr">
        <is>
          <t>Sales Expenses</t>
        </is>
      </c>
      <c r="B3" s="4" t="inlineStr">
        <is>
          <t>Sales Team Salaries</t>
        </is>
      </c>
      <c r="C3" s="6" t="inlineStr">
        <is>
          <t>Headcount × average salary</t>
        </is>
      </c>
      <c r="D3" s="12">
        <f>Assumptions!C31*8</f>
        <v/>
      </c>
      <c r="E3" s="12">
        <f>D3</f>
        <v/>
      </c>
      <c r="F3" s="12">
        <f>E3*(1+Assumptions!D31)</f>
        <v/>
      </c>
      <c r="G3" s="12">
        <f>F3*(1+Assumptions!E31)</f>
        <v/>
      </c>
      <c r="H3" s="12">
        <f>G3*(1+Assumptions!F31)</f>
        <v/>
      </c>
      <c r="I3" s="12">
        <f>H3*(1+Assumptions!G31)</f>
        <v/>
      </c>
      <c r="J3" s="6" t="inlineStr">
        <is>
          <t>Base salaries for sales team members</t>
        </is>
      </c>
    </row>
    <row r="4">
      <c r="A4" s="6" t="inlineStr">
        <is>
          <t>Sales Expenses</t>
        </is>
      </c>
      <c r="B4" s="4" t="inlineStr">
        <is>
          <t>Sales Commissions</t>
        </is>
      </c>
      <c r="C4" s="6" t="inlineStr">
        <is>
          <t>Percentage of revenue</t>
        </is>
      </c>
      <c r="D4" s="12">
        <f>Assumptions!C32</f>
        <v/>
      </c>
      <c r="E4" s="12">
        <f>D4</f>
        <v/>
      </c>
      <c r="F4" s="12">
        <f>E4*(1+Assumptions!D32)</f>
        <v/>
      </c>
      <c r="G4" s="12">
        <f>F4*(1+Assumptions!E32)</f>
        <v/>
      </c>
      <c r="H4" s="12">
        <f>G4*(1+Assumptions!F32)</f>
        <v/>
      </c>
      <c r="I4" s="12">
        <f>H4*(1+Assumptions!G32)</f>
        <v/>
      </c>
      <c r="J4" s="6" t="inlineStr">
        <is>
          <t>Variable compensation based on sales performance</t>
        </is>
      </c>
    </row>
    <row r="5">
      <c r="A5" s="6" t="inlineStr">
        <is>
          <t>Sales Expenses</t>
        </is>
      </c>
      <c r="B5" s="4" t="inlineStr">
        <is>
          <t>Travel &amp; Entertainment</t>
        </is>
      </c>
      <c r="C5" s="6" t="inlineStr">
        <is>
          <t>Per sales employee × travel frequency</t>
        </is>
      </c>
      <c r="D5" s="12">
        <f>15000</f>
        <v/>
      </c>
      <c r="E5" s="12">
        <f>D5</f>
        <v/>
      </c>
      <c r="F5" s="12">
        <f>E5*(1+Assumptions!D4)</f>
        <v/>
      </c>
      <c r="G5" s="12">
        <f>F5*(1+Assumptions!E4)</f>
        <v/>
      </c>
      <c r="H5" s="12">
        <f>G5*(1+Assumptions!F4)</f>
        <v/>
      </c>
      <c r="I5" s="12">
        <f>H5*(1+Assumptions!G4)</f>
        <v/>
      </c>
      <c r="J5" s="6" t="inlineStr">
        <is>
          <t>Customer meetings, sales trips, and entertainment expenses</t>
        </is>
      </c>
    </row>
    <row r="6">
      <c r="A6" s="6" t="inlineStr">
        <is>
          <t>Sales Expenses</t>
        </is>
      </c>
      <c r="B6" s="4" t="inlineStr">
        <is>
          <t>Trade Shows &amp; Events</t>
        </is>
      </c>
      <c r="C6" s="6" t="inlineStr">
        <is>
          <t>Fixed cost per event × number of events</t>
        </is>
      </c>
      <c r="D6" s="12">
        <f>25000*4</f>
        <v/>
      </c>
      <c r="E6" s="12">
        <f>D6</f>
        <v/>
      </c>
      <c r="F6" s="12">
        <f>E6*(1+Assumptions!D4)</f>
        <v/>
      </c>
      <c r="G6" s="12">
        <f>F6*(1+Assumptions!E4)</f>
        <v/>
      </c>
      <c r="H6" s="12">
        <f>G6*(1+Assumptions!F4)</f>
        <v/>
      </c>
      <c r="I6" s="12">
        <f>H6*(1+Assumptions!G4)</f>
        <v/>
      </c>
      <c r="J6" s="6" t="inlineStr">
        <is>
          <t>Industry exhibitions, conferences, and sales events</t>
        </is>
      </c>
    </row>
    <row r="7">
      <c r="A7" s="6" t="inlineStr">
        <is>
          <t>Sales Expenses</t>
        </is>
      </c>
      <c r="B7" s="4" t="inlineStr">
        <is>
          <t>Customer Relationship Management</t>
        </is>
      </c>
      <c r="C7" s="6" t="inlineStr">
        <is>
          <t>Per user license fee × number of users</t>
        </is>
      </c>
      <c r="D7" s="12">
        <f>Assumptions!C36*25</f>
        <v/>
      </c>
      <c r="E7" s="12">
        <f>D7</f>
        <v/>
      </c>
      <c r="F7" s="12">
        <f>E7*(1+Assumptions!D4)</f>
        <v/>
      </c>
      <c r="G7" s="12">
        <f>F7*(1+Assumptions!E4)</f>
        <v/>
      </c>
      <c r="H7" s="12">
        <f>G7*(1+Assumptions!F4)</f>
        <v/>
      </c>
      <c r="I7" s="12">
        <f>H7*(1+Assumptions!G4)</f>
        <v/>
      </c>
      <c r="J7" s="6" t="inlineStr">
        <is>
          <t>Software for managing customer relationships and sales pipeline</t>
        </is>
      </c>
    </row>
    <row r="8">
      <c r="A8" s="3" t="inlineStr">
        <is>
          <t>Marketing Expenses</t>
        </is>
      </c>
      <c r="B8" s="4" t="inlineStr">
        <is>
          <t>Digital Marketing</t>
        </is>
      </c>
      <c r="C8" s="6" t="inlineStr">
        <is>
          <t>Percentage of revenue</t>
        </is>
      </c>
      <c r="D8" s="12">
        <f>Assumptions!C33</f>
        <v/>
      </c>
      <c r="E8" s="12">
        <f>D8</f>
        <v/>
      </c>
      <c r="F8" s="12">
        <f>E8*(1+Assumptions!D33)</f>
        <v/>
      </c>
      <c r="G8" s="12">
        <f>F8*(1+Assumptions!E33)</f>
        <v/>
      </c>
      <c r="H8" s="12">
        <f>G8*(1+Assumptions!F33)</f>
        <v/>
      </c>
      <c r="I8" s="12">
        <f>H8*(1+Assumptions!G33)</f>
        <v/>
      </c>
      <c r="J8" s="6" t="inlineStr">
        <is>
          <t>Online advertising, SEO, email marketing, and other digital channels</t>
        </is>
      </c>
    </row>
    <row r="9">
      <c r="A9" s="6" t="inlineStr">
        <is>
          <t>Marketing Expenses</t>
        </is>
      </c>
      <c r="B9" s="4" t="inlineStr">
        <is>
          <t>Traditional Advertising</t>
        </is>
      </c>
      <c r="C9" s="6" t="inlineStr">
        <is>
          <t>Percentage of revenue</t>
        </is>
      </c>
      <c r="D9" s="12">
        <f>0.03*1000000</f>
        <v/>
      </c>
      <c r="E9" s="12">
        <f>D9</f>
        <v/>
      </c>
      <c r="F9" s="12">
        <f>E9*(1+Assumptions!D33)</f>
        <v/>
      </c>
      <c r="G9" s="12">
        <f>F9*(1+Assumptions!E33)</f>
        <v/>
      </c>
      <c r="H9" s="12">
        <f>G9*(1+Assumptions!F33)</f>
        <v/>
      </c>
      <c r="I9" s="12">
        <f>H9*(1+Assumptions!G33)</f>
        <v/>
      </c>
      <c r="J9" s="6" t="inlineStr">
        <is>
          <t>Print, TV, radio, and other traditional media advertising</t>
        </is>
      </c>
    </row>
    <row r="10">
      <c r="A10" s="6" t="inlineStr">
        <is>
          <t>Marketing Expenses</t>
        </is>
      </c>
      <c r="B10" s="4" t="inlineStr">
        <is>
          <t>Social Media Marketing</t>
        </is>
      </c>
      <c r="C10" s="6" t="inlineStr">
        <is>
          <t>Percentage of revenue</t>
        </is>
      </c>
      <c r="D10" s="12">
        <f>0.02*1000000</f>
        <v/>
      </c>
      <c r="E10" s="12">
        <f>D10</f>
        <v/>
      </c>
      <c r="F10" s="12">
        <f>E10*(1+Assumptions!D33)</f>
        <v/>
      </c>
      <c r="G10" s="12">
        <f>F10*(1+Assumptions!E33)</f>
        <v/>
      </c>
      <c r="H10" s="12">
        <f>G10*(1+Assumptions!F33)</f>
        <v/>
      </c>
      <c r="I10" s="12">
        <f>H10*(1+Assumptions!G33)</f>
        <v/>
      </c>
      <c r="J10" s="6" t="inlineStr">
        <is>
          <t>Content creation, community management, and paid social campaigns</t>
        </is>
      </c>
    </row>
    <row r="11">
      <c r="A11" s="6" t="inlineStr">
        <is>
          <t>Marketing Expenses</t>
        </is>
      </c>
      <c r="B11" s="4" t="inlineStr">
        <is>
          <t>Influencer Partnerships</t>
        </is>
      </c>
      <c r="C11" s="6" t="inlineStr">
        <is>
          <t>Fixed fee per partnership × number of partnerships</t>
        </is>
      </c>
      <c r="D11" s="12">
        <f>20000*12</f>
        <v/>
      </c>
      <c r="E11" s="12">
        <f>D11</f>
        <v/>
      </c>
      <c r="F11" s="12">
        <f>E11*(1+Assumptions!D4)</f>
        <v/>
      </c>
      <c r="G11" s="12">
        <f>F11*(1+Assumptions!E4)</f>
        <v/>
      </c>
      <c r="H11" s="12">
        <f>G11*(1+Assumptions!F4)</f>
        <v/>
      </c>
      <c r="I11" s="12">
        <f>H11*(1+Assumptions!G4)</f>
        <v/>
      </c>
      <c r="J11" s="6" t="inlineStr">
        <is>
          <t>Partnerships with industry influencers and content creators</t>
        </is>
      </c>
    </row>
    <row r="12">
      <c r="A12" s="6" t="inlineStr">
        <is>
          <t>Marketing Expenses</t>
        </is>
      </c>
      <c r="B12" s="4" t="inlineStr">
        <is>
          <t>Public Relations</t>
        </is>
      </c>
      <c r="C12" s="6" t="inlineStr">
        <is>
          <t>Monthly retainer × 12</t>
        </is>
      </c>
      <c r="D12" s="12">
        <f>10000*12</f>
        <v/>
      </c>
      <c r="E12" s="12">
        <f>D12</f>
        <v/>
      </c>
      <c r="F12" s="12">
        <f>E12*(1+Assumptions!D4)</f>
        <v/>
      </c>
      <c r="G12" s="12">
        <f>F12*(1+Assumptions!E4)</f>
        <v/>
      </c>
      <c r="H12" s="12">
        <f>G12*(1+Assumptions!F4)</f>
        <v/>
      </c>
      <c r="I12" s="12">
        <f>H12*(1+Assumptions!G4)</f>
        <v/>
      </c>
      <c r="J12" s="6" t="inlineStr">
        <is>
          <t>Media relations, press releases, and publicity management</t>
        </is>
      </c>
    </row>
    <row r="13">
      <c r="A13" s="6" t="inlineStr">
        <is>
          <t>Marketing Expenses</t>
        </is>
      </c>
      <c r="B13" s="4" t="inlineStr">
        <is>
          <t>Marketing Materials</t>
        </is>
      </c>
      <c r="C13" s="6" t="inlineStr">
        <is>
          <t>Fixed cost per campaign × number of campaigns</t>
        </is>
      </c>
      <c r="D13" s="12">
        <f>15000*4</f>
        <v/>
      </c>
      <c r="E13" s="12">
        <f>D13</f>
        <v/>
      </c>
      <c r="F13" s="12">
        <f>E13*(1+Assumptions!D4)</f>
        <v/>
      </c>
      <c r="G13" s="12">
        <f>F13*(1+Assumptions!E4)</f>
        <v/>
      </c>
      <c r="H13" s="12">
        <f>G13*(1+Assumptions!F4)</f>
        <v/>
      </c>
      <c r="I13" s="12">
        <f>H13*(1+Assumptions!G4)</f>
        <v/>
      </c>
      <c r="J13" s="6" t="inlineStr">
        <is>
          <t>Brochures, catalogs, samples, and other physical marketing materials</t>
        </is>
      </c>
    </row>
    <row r="14">
      <c r="A14" s="3" t="inlineStr">
        <is>
          <t>General Administrative</t>
        </is>
      </c>
      <c r="B14" s="4" t="inlineStr">
        <is>
          <t>Executive Salaries</t>
        </is>
      </c>
      <c r="C14" s="6" t="inlineStr">
        <is>
          <t>Headcount × average salary</t>
        </is>
      </c>
      <c r="D14" s="12">
        <f>250000*4</f>
        <v/>
      </c>
      <c r="E14" s="12">
        <f>D14</f>
        <v/>
      </c>
      <c r="F14" s="12">
        <f>E14*(1+Assumptions!D4)</f>
        <v/>
      </c>
      <c r="G14" s="12">
        <f>F14*(1+Assumptions!E4)</f>
        <v/>
      </c>
      <c r="H14" s="12">
        <f>G14*(1+Assumptions!F4)</f>
        <v/>
      </c>
      <c r="I14" s="12">
        <f>H14*(1+Assumptions!G4)</f>
        <v/>
      </c>
      <c r="J14" s="6" t="inlineStr">
        <is>
          <t>C-suite and senior management compensation</t>
        </is>
      </c>
    </row>
    <row r="15">
      <c r="A15" s="6" t="inlineStr">
        <is>
          <t>General Administrative</t>
        </is>
      </c>
      <c r="B15" s="4" t="inlineStr">
        <is>
          <t>Administrative Staff</t>
        </is>
      </c>
      <c r="C15" s="6" t="inlineStr">
        <is>
          <t>Headcount × average salary</t>
        </is>
      </c>
      <c r="D15" s="12">
        <f>Assumptions!C34*10</f>
        <v/>
      </c>
      <c r="E15" s="12">
        <f>D15</f>
        <v/>
      </c>
      <c r="F15" s="12">
        <f>E15*(1+Assumptions!D34)</f>
        <v/>
      </c>
      <c r="G15" s="12">
        <f>F15*(1+Assumptions!E34)</f>
        <v/>
      </c>
      <c r="H15" s="12">
        <f>G15*(1+Assumptions!F34)</f>
        <v/>
      </c>
      <c r="I15" s="12">
        <f>H15*(1+Assumptions!G34)</f>
        <v/>
      </c>
      <c r="J15" s="6" t="inlineStr">
        <is>
          <t>Support staff, office management, and administrative personnel</t>
        </is>
      </c>
    </row>
    <row r="16">
      <c r="A16" s="6" t="inlineStr">
        <is>
          <t>General Administrative</t>
        </is>
      </c>
      <c r="B16" s="4" t="inlineStr">
        <is>
          <t>HR Department</t>
        </is>
      </c>
      <c r="C16" s="6" t="inlineStr">
        <is>
          <t>Headcount × average salary</t>
        </is>
      </c>
      <c r="D16" s="12">
        <f>80000*3</f>
        <v/>
      </c>
      <c r="E16" s="12">
        <f>D16</f>
        <v/>
      </c>
      <c r="F16" s="12">
        <f>E16*(1+Assumptions!D4)</f>
        <v/>
      </c>
      <c r="G16" s="12">
        <f>F16*(1+Assumptions!E4)</f>
        <v/>
      </c>
      <c r="H16" s="12">
        <f>G16*(1+Assumptions!F4)</f>
        <v/>
      </c>
      <c r="I16" s="12">
        <f>H16*(1+Assumptions!G4)</f>
        <v/>
      </c>
      <c r="J16" s="6" t="inlineStr">
        <is>
          <t>Recruitment, benefits administration, and employee relations</t>
        </is>
      </c>
    </row>
    <row r="17">
      <c r="A17" s="6" t="inlineStr">
        <is>
          <t>General Administrative</t>
        </is>
      </c>
      <c r="B17" s="4" t="inlineStr">
        <is>
          <t>Finance Department</t>
        </is>
      </c>
      <c r="C17" s="6" t="inlineStr">
        <is>
          <t>Headcount × average salary</t>
        </is>
      </c>
      <c r="D17" s="12">
        <f>90000*4</f>
        <v/>
      </c>
      <c r="E17" s="12">
        <f>D17</f>
        <v/>
      </c>
      <c r="F17" s="12">
        <f>E17*(1+Assumptions!D4)</f>
        <v/>
      </c>
      <c r="G17" s="12">
        <f>F17*(1+Assumptions!E4)</f>
        <v/>
      </c>
      <c r="H17" s="12">
        <f>G17*(1+Assumptions!F4)</f>
        <v/>
      </c>
      <c r="I17" s="12">
        <f>H17*(1+Assumptions!G4)</f>
        <v/>
      </c>
      <c r="J17" s="6" t="inlineStr">
        <is>
          <t>Accounting, financial planning, and treasury operations</t>
        </is>
      </c>
    </row>
    <row r="18">
      <c r="A18" s="6" t="inlineStr">
        <is>
          <t>General Administrative</t>
        </is>
      </c>
      <c r="B18" s="4" t="inlineStr">
        <is>
          <t>Corporate Insurance</t>
        </is>
      </c>
      <c r="C18" s="6" t="inlineStr">
        <is>
          <t>Percentage of revenue</t>
        </is>
      </c>
      <c r="D18" s="12">
        <f>0.005*1000000</f>
        <v/>
      </c>
      <c r="E18" s="12">
        <f>D18</f>
        <v/>
      </c>
      <c r="F18" s="12">
        <f>E18*(1+Assumptions!D4)</f>
        <v/>
      </c>
      <c r="G18" s="12">
        <f>F18*(1+Assumptions!E4)</f>
        <v/>
      </c>
      <c r="H18" s="12">
        <f>G18*(1+Assumptions!F4)</f>
        <v/>
      </c>
      <c r="I18" s="12">
        <f>H18*(1+Assumptions!G4)</f>
        <v/>
      </c>
      <c r="J18" s="6" t="inlineStr">
        <is>
          <t>General liability, D&amp;O, and other corporate insurance policies</t>
        </is>
      </c>
    </row>
    <row r="19">
      <c r="A19" s="3" t="inlineStr">
        <is>
          <t>Professional Services</t>
        </is>
      </c>
      <c r="B19" s="4" t="inlineStr">
        <is>
          <t>Legal Services</t>
        </is>
      </c>
      <c r="C19" s="6" t="inlineStr">
        <is>
          <t>Monthly retainer + hourly fees</t>
        </is>
      </c>
      <c r="D19" s="12">
        <f>Assumptions!C37</f>
        <v/>
      </c>
      <c r="E19" s="12">
        <f>D19</f>
        <v/>
      </c>
      <c r="F19" s="12">
        <f>E19*(1+Assumptions!D37)</f>
        <v/>
      </c>
      <c r="G19" s="12">
        <f>F19*(1+Assumptions!E37)</f>
        <v/>
      </c>
      <c r="H19" s="12">
        <f>G19*(1+Assumptions!F37)</f>
        <v/>
      </c>
      <c r="I19" s="12">
        <f>H19*(1+Assumptions!G37)</f>
        <v/>
      </c>
      <c r="J19" s="6" t="inlineStr">
        <is>
          <t>Outside counsel, legal advice, and contract review</t>
        </is>
      </c>
    </row>
    <row r="20">
      <c r="A20" s="6" t="inlineStr">
        <is>
          <t>Professional Services</t>
        </is>
      </c>
      <c r="B20" s="4" t="inlineStr">
        <is>
          <t>Accounting &amp; Audit</t>
        </is>
      </c>
      <c r="C20" s="6" t="inlineStr">
        <is>
          <t>Annual audit fee + monthly accounting</t>
        </is>
      </c>
      <c r="D20" s="12">
        <f>Assumptions!C37*0.8</f>
        <v/>
      </c>
      <c r="E20" s="12">
        <f>D20</f>
        <v/>
      </c>
      <c r="F20" s="12">
        <f>E20*(1+Assumptions!D37)</f>
        <v/>
      </c>
      <c r="G20" s="12">
        <f>F20*(1+Assumptions!E37)</f>
        <v/>
      </c>
      <c r="H20" s="12">
        <f>G20*(1+Assumptions!F37)</f>
        <v/>
      </c>
      <c r="I20" s="12">
        <f>H20*(1+Assumptions!G37)</f>
        <v/>
      </c>
      <c r="J20" s="6" t="inlineStr">
        <is>
          <t>External accounting services and annual financial audits</t>
        </is>
      </c>
    </row>
    <row r="21">
      <c r="A21" s="6" t="inlineStr">
        <is>
          <t>Professional Services</t>
        </is>
      </c>
      <c r="B21" s="4" t="inlineStr">
        <is>
          <t>Consulting Services</t>
        </is>
      </c>
      <c r="C21" s="6" t="inlineStr">
        <is>
          <t>Project-based fees</t>
        </is>
      </c>
      <c r="D21" s="12">
        <f>50000*2</f>
        <v/>
      </c>
      <c r="E21" s="12">
        <f>D21</f>
        <v/>
      </c>
      <c r="F21" s="12">
        <f>E21*(1+Assumptions!D4)</f>
        <v/>
      </c>
      <c r="G21" s="12">
        <f>F21*(1+Assumptions!E4)</f>
        <v/>
      </c>
      <c r="H21" s="12">
        <f>G21*(1+Assumptions!F4)</f>
        <v/>
      </c>
      <c r="I21" s="12">
        <f>H21*(1+Assumptions!G4)</f>
        <v/>
      </c>
      <c r="J21" s="6" t="inlineStr">
        <is>
          <t>Business strategy, operations, and specialized consulting</t>
        </is>
      </c>
    </row>
    <row r="22">
      <c r="A22" s="6" t="inlineStr">
        <is>
          <t>Professional Services</t>
        </is>
      </c>
      <c r="B22" s="4" t="inlineStr">
        <is>
          <t>Regulatory Compliance</t>
        </is>
      </c>
      <c r="C22" s="6" t="inlineStr">
        <is>
          <t>Fixed annual cost</t>
        </is>
      </c>
      <c r="D22" s="12">
        <f>75000</f>
        <v/>
      </c>
      <c r="E22" s="12">
        <f>D22</f>
        <v/>
      </c>
      <c r="F22" s="12">
        <f>E22*(1+Assumptions!D4)</f>
        <v/>
      </c>
      <c r="G22" s="12">
        <f>F22*(1+Assumptions!E4)</f>
        <v/>
      </c>
      <c r="H22" s="12">
        <f>G22*(1+Assumptions!F4)</f>
        <v/>
      </c>
      <c r="I22" s="12">
        <f>H22*(1+Assumptions!G4)</f>
        <v/>
      </c>
      <c r="J22" s="6" t="inlineStr">
        <is>
          <t>Costs for ensuring compliance with industry regulations</t>
        </is>
      </c>
    </row>
    <row r="23">
      <c r="A23" s="3" t="inlineStr">
        <is>
          <t>IT &amp; Technology</t>
        </is>
      </c>
      <c r="B23" s="4" t="inlineStr">
        <is>
          <t>IT Staff</t>
        </is>
      </c>
      <c r="C23" s="6" t="inlineStr">
        <is>
          <t>Headcount × average salary</t>
        </is>
      </c>
      <c r="D23" s="12">
        <f>120000*3</f>
        <v/>
      </c>
      <c r="E23" s="12">
        <f>D23</f>
        <v/>
      </c>
      <c r="F23" s="12">
        <f>E23*(1+Assumptions!D4)</f>
        <v/>
      </c>
      <c r="G23" s="12">
        <f>F23*(1+Assumptions!E4)</f>
        <v/>
      </c>
      <c r="H23" s="12">
        <f>G23*(1+Assumptions!F4)</f>
        <v/>
      </c>
      <c r="I23" s="12">
        <f>H23*(1+Assumptions!G4)</f>
        <v/>
      </c>
      <c r="J23" s="6" t="inlineStr">
        <is>
          <t>IT department personnel and support staff</t>
        </is>
      </c>
    </row>
    <row r="24">
      <c r="A24" s="6" t="inlineStr">
        <is>
          <t>IT &amp; Technology</t>
        </is>
      </c>
      <c r="B24" s="4" t="inlineStr">
        <is>
          <t>Software Licenses</t>
        </is>
      </c>
      <c r="C24" s="6" t="inlineStr">
        <is>
          <t>Per user license fee × number of users</t>
        </is>
      </c>
      <c r="D24" s="12">
        <f>Assumptions!C36*50</f>
        <v/>
      </c>
      <c r="E24" s="12">
        <f>D24</f>
        <v/>
      </c>
      <c r="F24" s="12">
        <f>E24*(1+Assumptions!D36)</f>
        <v/>
      </c>
      <c r="G24" s="12">
        <f>F24*(1+Assumptions!E36)</f>
        <v/>
      </c>
      <c r="H24" s="12">
        <f>G24*(1+Assumptions!F36)</f>
        <v/>
      </c>
      <c r="I24" s="12">
        <f>H24*(1+Assumptions!G36)</f>
        <v/>
      </c>
      <c r="J24" s="6" t="inlineStr">
        <is>
          <t>Software subscriptions and enterprise applications</t>
        </is>
      </c>
    </row>
    <row r="25">
      <c r="A25" s="6" t="inlineStr">
        <is>
          <t>IT &amp; Technology</t>
        </is>
      </c>
      <c r="B25" s="4" t="inlineStr">
        <is>
          <t>Hardware &amp; Equipment</t>
        </is>
      </c>
      <c r="C25" s="6" t="inlineStr">
        <is>
          <t>Depreciation + new purchases</t>
        </is>
      </c>
      <c r="D25" s="12">
        <f>100000</f>
        <v/>
      </c>
      <c r="E25" s="12">
        <f>D25</f>
        <v/>
      </c>
      <c r="F25" s="12">
        <f>E25*(1+Assumptions!D4)</f>
        <v/>
      </c>
      <c r="G25" s="12">
        <f>F25*(1+Assumptions!E4)</f>
        <v/>
      </c>
      <c r="H25" s="12">
        <f>G25*(1+Assumptions!F4)</f>
        <v/>
      </c>
      <c r="I25" s="12">
        <f>H25*(1+Assumptions!G4)</f>
        <v/>
      </c>
      <c r="J25" s="6" t="inlineStr">
        <is>
          <t>Computers, servers, networking equipment, and peripherals</t>
        </is>
      </c>
    </row>
    <row r="26">
      <c r="A26" s="6" t="inlineStr">
        <is>
          <t>IT &amp; Technology</t>
        </is>
      </c>
      <c r="B26" s="4" t="inlineStr">
        <is>
          <t>IT Support &amp; Maintenance</t>
        </is>
      </c>
      <c r="C26" s="6" t="inlineStr">
        <is>
          <t>Monthly service fee × 12</t>
        </is>
      </c>
      <c r="D26" s="12">
        <f>8000*12</f>
        <v/>
      </c>
      <c r="E26" s="12">
        <f>D26</f>
        <v/>
      </c>
      <c r="F26" s="12">
        <f>E26*(1+Assumptions!D4)</f>
        <v/>
      </c>
      <c r="G26" s="12">
        <f>F26*(1+Assumptions!E4)</f>
        <v/>
      </c>
      <c r="H26" s="12">
        <f>G26*(1+Assumptions!F4)</f>
        <v/>
      </c>
      <c r="I26" s="12">
        <f>H26*(1+Assumptions!G4)</f>
        <v/>
      </c>
      <c r="J26" s="6" t="inlineStr">
        <is>
          <t>Ongoing IT maintenance, security, and support services</t>
        </is>
      </c>
    </row>
    <row r="27">
      <c r="A27" s="3" t="inlineStr">
        <is>
          <t>Facilities &amp; Office</t>
        </is>
      </c>
      <c r="B27" s="4" t="inlineStr">
        <is>
          <t>Office Rent</t>
        </is>
      </c>
      <c r="C27" s="6" t="inlineStr">
        <is>
          <t>Square footage × rate with annual increase</t>
        </is>
      </c>
      <c r="D27" s="12">
        <f>Assumptions!C35*5000</f>
        <v/>
      </c>
      <c r="E27" s="12">
        <f>D27</f>
        <v/>
      </c>
      <c r="F27" s="12">
        <f>E27*(1+Assumptions!D35)</f>
        <v/>
      </c>
      <c r="G27" s="12">
        <f>F27*(1+Assumptions!E35)</f>
        <v/>
      </c>
      <c r="H27" s="12">
        <f>G27*(1+Assumptions!F35)</f>
        <v/>
      </c>
      <c r="I27" s="12">
        <f>H27*(1+Assumptions!G35)</f>
        <v/>
      </c>
      <c r="J27" s="6" t="inlineStr">
        <is>
          <t>Lease or rent payments for office space</t>
        </is>
      </c>
    </row>
    <row r="28">
      <c r="A28" s="6" t="inlineStr">
        <is>
          <t>Facilities &amp; Office</t>
        </is>
      </c>
      <c r="B28" s="4" t="inlineStr">
        <is>
          <t>Office Utilities</t>
        </is>
      </c>
      <c r="C28" s="6" t="inlineStr">
        <is>
          <t>Usage rates × utility prices</t>
        </is>
      </c>
      <c r="D28" s="12">
        <f>4000*12</f>
        <v/>
      </c>
      <c r="E28" s="12">
        <f>D28</f>
        <v/>
      </c>
      <c r="F28" s="12">
        <f>E28*(1+Assumptions!D4)</f>
        <v/>
      </c>
      <c r="G28" s="12">
        <f>F28*(1+Assumptions!E4)</f>
        <v/>
      </c>
      <c r="H28" s="12">
        <f>G28*(1+Assumptions!F4)</f>
        <v/>
      </c>
      <c r="I28" s="12">
        <f>H28*(1+Assumptions!G4)</f>
        <v/>
      </c>
      <c r="J28" s="6" t="inlineStr">
        <is>
          <t>Electricity, water, heating, and other office utilities</t>
        </is>
      </c>
    </row>
    <row r="29">
      <c r="A29" s="6" t="inlineStr">
        <is>
          <t>Facilities &amp; Office</t>
        </is>
      </c>
      <c r="B29" s="4" t="inlineStr">
        <is>
          <t>Office Supplies</t>
        </is>
      </c>
      <c r="C29" s="6" t="inlineStr">
        <is>
          <t>Per employee × headcount</t>
        </is>
      </c>
      <c r="D29" s="12">
        <f>500*50</f>
        <v/>
      </c>
      <c r="E29" s="12">
        <f>D29</f>
        <v/>
      </c>
      <c r="F29" s="12">
        <f>E29*(1+Assumptions!D4)</f>
        <v/>
      </c>
      <c r="G29" s="12">
        <f>F29*(1+Assumptions!E4)</f>
        <v/>
      </c>
      <c r="H29" s="12">
        <f>G29*(1+Assumptions!F4)</f>
        <v/>
      </c>
      <c r="I29" s="12">
        <f>H29*(1+Assumptions!G4)</f>
        <v/>
      </c>
      <c r="J29" s="6" t="inlineStr">
        <is>
          <t>Office consumables, stationery, and supplies</t>
        </is>
      </c>
    </row>
    <row r="30">
      <c r="A30" s="6" t="inlineStr">
        <is>
          <t>Facilities &amp; Office</t>
        </is>
      </c>
      <c r="B30" s="4" t="inlineStr">
        <is>
          <t>Office Maintenance</t>
        </is>
      </c>
      <c r="C30" s="6" t="inlineStr">
        <is>
          <t>Percentage of facility value</t>
        </is>
      </c>
      <c r="D30" s="12">
        <f>0.02*1000000</f>
        <v/>
      </c>
      <c r="E30" s="12">
        <f>D30</f>
        <v/>
      </c>
      <c r="F30" s="12">
        <f>E30*(1+Assumptions!D4)</f>
        <v/>
      </c>
      <c r="G30" s="12">
        <f>F30*(1+Assumptions!E4)</f>
        <v/>
      </c>
      <c r="H30" s="12">
        <f>G30*(1+Assumptions!F4)</f>
        <v/>
      </c>
      <c r="I30" s="12">
        <f>H30*(1+Assumptions!G4)</f>
        <v/>
      </c>
      <c r="J30" s="6" t="inlineStr">
        <is>
          <t>Cleaning, repairs, and general office maintenance</t>
        </is>
      </c>
    </row>
    <row r="31">
      <c r="A31" s="3" t="inlineStr">
        <is>
          <t>Other SG&amp;A</t>
        </is>
      </c>
      <c r="B31" s="4" t="inlineStr">
        <is>
          <t>Training &amp; Development</t>
        </is>
      </c>
      <c r="C31" s="6" t="inlineStr">
        <is>
          <t>Training budget per employee × headcount</t>
        </is>
      </c>
      <c r="D31" s="12">
        <f>Assumptions!C47*50</f>
        <v/>
      </c>
      <c r="E31" s="12">
        <f>D31</f>
        <v/>
      </c>
      <c r="F31" s="12">
        <f>E31*(1+Assumptions!D4)</f>
        <v/>
      </c>
      <c r="G31" s="12">
        <f>F31*(1+Assumptions!E4)</f>
        <v/>
      </c>
      <c r="H31" s="12">
        <f>G31*(1+Assumptions!F4)</f>
        <v/>
      </c>
      <c r="I31" s="12">
        <f>H31*(1+Assumptions!G4)</f>
        <v/>
      </c>
      <c r="J31" s="6" t="inlineStr">
        <is>
          <t>Employee development programs and educational resources</t>
        </is>
      </c>
    </row>
    <row r="32">
      <c r="A32" s="6" t="inlineStr">
        <is>
          <t>Other SG&amp;A</t>
        </is>
      </c>
      <c r="B32" s="4" t="inlineStr">
        <is>
          <t>Travel (Non-Sales)</t>
        </is>
      </c>
      <c r="C32" s="6" t="inlineStr">
        <is>
          <t>Per employee × travel frequency</t>
        </is>
      </c>
      <c r="D32" s="12">
        <f>3000*20</f>
        <v/>
      </c>
      <c r="E32" s="12">
        <f>D32</f>
        <v/>
      </c>
      <c r="F32" s="12">
        <f>E32*(1+Assumptions!D4)</f>
        <v/>
      </c>
      <c r="G32" s="12">
        <f>F32*(1+Assumptions!E4)</f>
        <v/>
      </c>
      <c r="H32" s="12">
        <f>G32*(1+Assumptions!F4)</f>
        <v/>
      </c>
      <c r="I32" s="12">
        <f>H32*(1+Assumptions!G4)</f>
        <v/>
      </c>
      <c r="J32" s="6" t="inlineStr">
        <is>
          <t>Non-sales related business travel expenses</t>
        </is>
      </c>
    </row>
    <row r="33">
      <c r="A33" s="6" t="inlineStr">
        <is>
          <t>Other SG&amp;A</t>
        </is>
      </c>
      <c r="B33" s="4" t="inlineStr">
        <is>
          <t>Miscellaneous SG&amp;A</t>
        </is>
      </c>
      <c r="C33" s="6" t="inlineStr">
        <is>
          <t>Percentage of total SG&amp;A</t>
        </is>
      </c>
      <c r="D33" s="12">
        <f>0.01*SUM(D3:D29)</f>
        <v/>
      </c>
      <c r="E33" s="12">
        <f>D33</f>
        <v/>
      </c>
      <c r="F33" s="12">
        <f>E33*(1+Assumptions!D4)</f>
        <v/>
      </c>
      <c r="G33" s="12">
        <f>F33*(1+Assumptions!E4)</f>
        <v/>
      </c>
      <c r="H33" s="12">
        <f>G33*(1+Assumptions!F4)</f>
        <v/>
      </c>
      <c r="I33" s="12">
        <f>H33*(1+Assumptions!G4)</f>
        <v/>
      </c>
      <c r="J33" s="6" t="inlineStr">
        <is>
          <t>Miscellaneous selling, general, and administrative expenses</t>
        </is>
      </c>
    </row>
    <row r="35">
      <c r="A35" s="13" t="inlineStr">
        <is>
          <t>Total Sales Expenses</t>
        </is>
      </c>
      <c r="E35" s="20">
        <f>SUM(E3:E7)</f>
        <v/>
      </c>
      <c r="F35" s="20">
        <f>SUM(F3:F7)</f>
        <v/>
      </c>
      <c r="G35" s="20">
        <f>SUM(G3:G7)</f>
        <v/>
      </c>
      <c r="H35" s="20">
        <f>SUM(H3:H7)</f>
        <v/>
      </c>
      <c r="I35" s="20">
        <f>SUM(I3:I7)</f>
        <v/>
      </c>
    </row>
    <row r="36">
      <c r="A36" s="13" t="inlineStr">
        <is>
          <t>Total Marketing Expenses</t>
        </is>
      </c>
      <c r="E36" s="20">
        <f>SUM(E8:E13)</f>
        <v/>
      </c>
      <c r="F36" s="20">
        <f>SUM(F8:F13)</f>
        <v/>
      </c>
      <c r="G36" s="20">
        <f>SUM(G8:G13)</f>
        <v/>
      </c>
      <c r="H36" s="20">
        <f>SUM(H8:H13)</f>
        <v/>
      </c>
      <c r="I36" s="20">
        <f>SUM(I8:I13)</f>
        <v/>
      </c>
    </row>
    <row r="37">
      <c r="A37" s="13" t="inlineStr">
        <is>
          <t>Total General Administrative</t>
        </is>
      </c>
      <c r="E37" s="20">
        <f>SUM(E14:E18)</f>
        <v/>
      </c>
      <c r="F37" s="20">
        <f>SUM(F14:F18)</f>
        <v/>
      </c>
      <c r="G37" s="20">
        <f>SUM(G14:G18)</f>
        <v/>
      </c>
      <c r="H37" s="20">
        <f>SUM(H14:H18)</f>
        <v/>
      </c>
      <c r="I37" s="20">
        <f>SUM(I14:I18)</f>
        <v/>
      </c>
    </row>
    <row r="38">
      <c r="A38" s="13" t="inlineStr">
        <is>
          <t>Total Professional Services</t>
        </is>
      </c>
      <c r="E38" s="20">
        <f>SUM(E19:E22)</f>
        <v/>
      </c>
      <c r="F38" s="20">
        <f>SUM(F19:F22)</f>
        <v/>
      </c>
      <c r="G38" s="20">
        <f>SUM(G19:G22)</f>
        <v/>
      </c>
      <c r="H38" s="20">
        <f>SUM(H19:H22)</f>
        <v/>
      </c>
      <c r="I38" s="20">
        <f>SUM(I19:I22)</f>
        <v/>
      </c>
    </row>
    <row r="39">
      <c r="A39" s="13" t="inlineStr">
        <is>
          <t>Total IT &amp; Technology</t>
        </is>
      </c>
      <c r="E39" s="20">
        <f>SUM(E23:E26)</f>
        <v/>
      </c>
      <c r="F39" s="20">
        <f>SUM(F23:F26)</f>
        <v/>
      </c>
      <c r="G39" s="20">
        <f>SUM(G23:G26)</f>
        <v/>
      </c>
      <c r="H39" s="20">
        <f>SUM(H23:H26)</f>
        <v/>
      </c>
      <c r="I39" s="20">
        <f>SUM(I23:I26)</f>
        <v/>
      </c>
    </row>
    <row r="40">
      <c r="A40" s="13" t="inlineStr">
        <is>
          <t>Total Facilities &amp; Office</t>
        </is>
      </c>
      <c r="E40" s="20">
        <f>SUM(E27:E30)</f>
        <v/>
      </c>
      <c r="F40" s="20">
        <f>SUM(F27:F30)</f>
        <v/>
      </c>
      <c r="G40" s="20">
        <f>SUM(G27:G30)</f>
        <v/>
      </c>
      <c r="H40" s="20">
        <f>SUM(H27:H30)</f>
        <v/>
      </c>
      <c r="I40" s="20">
        <f>SUM(I27:I30)</f>
        <v/>
      </c>
    </row>
    <row r="41">
      <c r="A41" s="13" t="inlineStr">
        <is>
          <t>Total Other SG&amp;A</t>
        </is>
      </c>
      <c r="E41" s="20">
        <f>SUM(E31:E33)</f>
        <v/>
      </c>
      <c r="F41" s="20">
        <f>SUM(F31:F33)</f>
        <v/>
      </c>
      <c r="G41" s="20">
        <f>SUM(G31:G33)</f>
        <v/>
      </c>
      <c r="H41" s="20">
        <f>SUM(H31:H33)</f>
        <v/>
      </c>
      <c r="I41" s="20">
        <f>SUM(I31:I33)</f>
        <v/>
      </c>
    </row>
    <row r="42">
      <c r="A42" s="13" t="inlineStr">
        <is>
          <t>Total SG&amp;A Expenses</t>
        </is>
      </c>
      <c r="E42" s="14">
        <f>SUM(E3:E34)</f>
        <v/>
      </c>
      <c r="F42" s="14">
        <f>SUM(F3:F34)</f>
        <v/>
      </c>
      <c r="G42" s="14">
        <f>SUM(G3:G34)</f>
        <v/>
      </c>
      <c r="H42" s="14">
        <f>SUM(H3:H34)</f>
        <v/>
      </c>
      <c r="I42" s="14">
        <f>SUM(I3:I34)</f>
        <v/>
      </c>
    </row>
    <row r="44">
      <c r="A44" s="15" t="inlineStr">
        <is>
          <t>SG&amp;A as % of Revenue</t>
        </is>
      </c>
      <c r="E44" s="16">
        <f>E42/1000000</f>
        <v/>
      </c>
      <c r="F44" s="16">
        <f>F42/1000000</f>
        <v/>
      </c>
      <c r="G44" s="16">
        <f>G42/1000000</f>
        <v/>
      </c>
      <c r="H44" s="16">
        <f>H42/1000000</f>
        <v/>
      </c>
      <c r="I44" s="16">
        <f>I42/1000000</f>
        <v/>
      </c>
    </row>
  </sheetData>
  <mergeCells count="10">
    <mergeCell ref="A42:C42"/>
    <mergeCell ref="A41:C41"/>
    <mergeCell ref="A36:C36"/>
    <mergeCell ref="A44:C44"/>
    <mergeCell ref="A37:C37"/>
    <mergeCell ref="A1:I1"/>
    <mergeCell ref="A40:C40"/>
    <mergeCell ref="A39:C39"/>
    <mergeCell ref="A35:C35"/>
    <mergeCell ref="A38:C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40" customWidth="1" min="11" max="11"/>
  </cols>
  <sheetData>
    <row r="1">
      <c r="A1" s="1" t="inlineStr">
        <is>
          <t>Revenue and Profitability</t>
        </is>
      </c>
    </row>
    <row r="2">
      <c r="A2" s="10" t="inlineStr">
        <is>
          <t>Revenue Category</t>
        </is>
      </c>
      <c r="B2" s="10" t="inlineStr">
        <is>
          <t>Revenue Stream</t>
        </is>
      </c>
      <c r="C2" s="10" t="inlineStr">
        <is>
          <t>Revenue Driver</t>
        </is>
      </c>
      <c r="D2" s="10" t="inlineStr">
        <is>
          <t>Year 1 Units</t>
        </is>
      </c>
      <c r="E2" s="10" t="inlineStr">
        <is>
          <t>Year 1 Price</t>
        </is>
      </c>
      <c r="F2" s="10" t="inlineStr">
        <is>
          <t>Year 1 Revenue</t>
        </is>
      </c>
      <c r="G2" s="10" t="inlineStr">
        <is>
          <t>Year 2 Revenue</t>
        </is>
      </c>
      <c r="H2" s="10" t="inlineStr">
        <is>
          <t>Year 3 Revenue</t>
        </is>
      </c>
      <c r="I2" s="10" t="inlineStr">
        <is>
          <t>Year 4 Revenue</t>
        </is>
      </c>
      <c r="J2" s="10" t="inlineStr">
        <is>
          <t>Year 5 Revenue</t>
        </is>
      </c>
      <c r="K2" s="10" t="inlineStr">
        <is>
          <t>Notes</t>
        </is>
      </c>
    </row>
    <row r="3">
      <c r="A3" s="3" t="inlineStr">
        <is>
          <t>Product Categories</t>
        </is>
      </c>
      <c r="B3" s="4" t="inlineStr">
        <is>
          <t>Facial Skincare</t>
        </is>
      </c>
      <c r="C3" s="6" t="inlineStr">
        <is>
          <t>Units sold × average price</t>
        </is>
      </c>
      <c r="D3" s="12" t="inlineStr">
        <is>
          <t>500000</t>
        </is>
      </c>
      <c r="E3" s="17" t="inlineStr">
        <is>
          <t>25.00</t>
        </is>
      </c>
      <c r="F3" s="12">
        <f>D3*E3</f>
        <v/>
      </c>
      <c r="G3" s="12">
        <f>F3*(1+Assumptions!D8)*(1+Assumptions!D12)</f>
        <v/>
      </c>
      <c r="H3" s="12">
        <f>G3*(1+Assumptions!E8)*(1+Assumptions!E12)</f>
        <v/>
      </c>
      <c r="I3" s="12">
        <f>H3*(1+Assumptions!F8)*(1+Assumptions!F12)</f>
        <v/>
      </c>
      <c r="J3" s="12">
        <f>I3*(1+Assumptions!G8)*(1+Assumptions!G12)</f>
        <v/>
      </c>
      <c r="K3" s="6" t="inlineStr">
        <is>
          <t>Cleansers, moisturizers, serums, masks for facial care</t>
        </is>
      </c>
    </row>
    <row r="4">
      <c r="A4" s="6" t="inlineStr">
        <is>
          <t>Product Categories</t>
        </is>
      </c>
      <c r="B4" s="4" t="inlineStr">
        <is>
          <t>Body Care</t>
        </is>
      </c>
      <c r="C4" s="6" t="inlineStr">
        <is>
          <t>Units sold × average price</t>
        </is>
      </c>
      <c r="D4" s="12" t="inlineStr">
        <is>
          <t>300000</t>
        </is>
      </c>
      <c r="E4" s="17" t="inlineStr">
        <is>
          <t>22.00</t>
        </is>
      </c>
      <c r="F4" s="12">
        <f>D4*E4</f>
        <v/>
      </c>
      <c r="G4" s="12">
        <f>F4*(1+Assumptions!D9)*(1+Assumptions!D12)</f>
        <v/>
      </c>
      <c r="H4" s="12">
        <f>G4*(1+Assumptions!E9)*(1+Assumptions!E12)</f>
        <v/>
      </c>
      <c r="I4" s="12">
        <f>H4*(1+Assumptions!F9)*(1+Assumptions!F12)</f>
        <v/>
      </c>
      <c r="J4" s="12">
        <f>I4*(1+Assumptions!G9)*(1+Assumptions!G12)</f>
        <v/>
      </c>
      <c r="K4" s="6" t="inlineStr">
        <is>
          <t>Lotions, scrubs, oils for body care</t>
        </is>
      </c>
    </row>
    <row r="5">
      <c r="A5" s="6" t="inlineStr">
        <is>
          <t>Product Categories</t>
        </is>
      </c>
      <c r="B5" s="4" t="inlineStr">
        <is>
          <t>Specialty Products</t>
        </is>
      </c>
      <c r="C5" s="6" t="inlineStr">
        <is>
          <t>Units sold × average price</t>
        </is>
      </c>
      <c r="D5" s="12" t="inlineStr">
        <is>
          <t>100000</t>
        </is>
      </c>
      <c r="E5" s="17" t="inlineStr">
        <is>
          <t>35.00</t>
        </is>
      </c>
      <c r="F5" s="12">
        <f>D5*E5</f>
        <v/>
      </c>
      <c r="G5" s="12">
        <f>F5*(1+Assumptions!D10)*(1+Assumptions!D12)</f>
        <v/>
      </c>
      <c r="H5" s="12">
        <f>G5*(1+Assumptions!E10)*(1+Assumptions!E12)</f>
        <v/>
      </c>
      <c r="I5" s="12">
        <f>H5*(1+Assumptions!F10)*(1+Assumptions!F12)</f>
        <v/>
      </c>
      <c r="J5" s="12">
        <f>I5*(1+Assumptions!G10)*(1+Assumptions!G12)</f>
        <v/>
      </c>
      <c r="K5" s="6" t="inlineStr">
        <is>
          <t>Anti-aging, acne treatment, sun protection</t>
        </is>
      </c>
    </row>
    <row r="6">
      <c r="A6" s="3" t="inlineStr">
        <is>
          <t>Distribution Channels</t>
        </is>
      </c>
      <c r="B6" s="4" t="inlineStr">
        <is>
          <t>Direct-to-Consumer (DTC)</t>
        </is>
      </c>
      <c r="C6" s="6" t="inlineStr">
        <is>
          <t>Website traffic × conversion rate × average order value</t>
        </is>
      </c>
      <c r="D6" s="12" t="inlineStr">
        <is>
          <t>400000</t>
        </is>
      </c>
      <c r="E6" s="17" t="inlineStr">
        <is>
          <t>28.00</t>
        </is>
      </c>
      <c r="F6" s="12">
        <f>D6*E6</f>
        <v/>
      </c>
      <c r="G6" s="12">
        <f>F6*(1+Assumptions!D10)*(1+Assumptions!D12)</f>
        <v/>
      </c>
      <c r="H6" s="12">
        <f>G6*(1+Assumptions!E10)*(1+Assumptions!E12)</f>
        <v/>
      </c>
      <c r="I6" s="12">
        <f>H6*(1+Assumptions!F10)*(1+Assumptions!F12)</f>
        <v/>
      </c>
      <c r="J6" s="12">
        <f>I6*(1+Assumptions!G10)*(1+Assumptions!G12)</f>
        <v/>
      </c>
      <c r="K6" s="6" t="inlineStr">
        <is>
          <t>Sales through company website and branded apps</t>
        </is>
      </c>
    </row>
    <row r="7">
      <c r="A7" s="6" t="inlineStr">
        <is>
          <t>Distribution Channels</t>
        </is>
      </c>
      <c r="B7" s="4" t="inlineStr">
        <is>
          <t>Retail</t>
        </is>
      </c>
      <c r="C7" s="6" t="inlineStr">
        <is>
          <t>Store count × average sales per store</t>
        </is>
      </c>
      <c r="D7" s="12" t="inlineStr">
        <is>
          <t>350000</t>
        </is>
      </c>
      <c r="E7" s="17" t="inlineStr">
        <is>
          <t>24.00</t>
        </is>
      </c>
      <c r="F7" s="12">
        <f>D7*E7</f>
        <v/>
      </c>
      <c r="G7" s="12">
        <f>F7*(1+Assumptions!D11)*(1+Assumptions!D12)</f>
        <v/>
      </c>
      <c r="H7" s="12">
        <f>G7*(1+Assumptions!E11)*(1+Assumptions!E12)</f>
        <v/>
      </c>
      <c r="I7" s="12">
        <f>H7*(1+Assumptions!F11)*(1+Assumptions!F12)</f>
        <v/>
      </c>
      <c r="J7" s="12">
        <f>I7*(1+Assumptions!G11)*(1+Assumptions!G12)</f>
        <v/>
      </c>
      <c r="K7" s="6" t="inlineStr">
        <is>
          <t>Sales through retail partners and own stores</t>
        </is>
      </c>
    </row>
    <row r="8">
      <c r="A8" s="6" t="inlineStr">
        <is>
          <t>Distribution Channels</t>
        </is>
      </c>
      <c r="B8" s="4" t="inlineStr">
        <is>
          <t>Wholesale/B2B</t>
        </is>
      </c>
      <c r="C8" s="6" t="inlineStr">
        <is>
          <t>Number of wholesale accounts × average order size × order frequency</t>
        </is>
      </c>
      <c r="D8" s="12" t="inlineStr">
        <is>
          <t>150000</t>
        </is>
      </c>
      <c r="E8" s="17" t="inlineStr">
        <is>
          <t>20.00</t>
        </is>
      </c>
      <c r="F8" s="12">
        <f>D8*E8</f>
        <v/>
      </c>
      <c r="G8" s="12">
        <f>F8*(1+Assumptions!D7)*(1+Assumptions!D12)</f>
        <v/>
      </c>
      <c r="H8" s="12">
        <f>G8*(1+Assumptions!E7)*(1+Assumptions!E12)</f>
        <v/>
      </c>
      <c r="I8" s="12">
        <f>H8*(1+Assumptions!F7)*(1+Assumptions!F12)</f>
        <v/>
      </c>
      <c r="J8" s="12">
        <f>I8*(1+Assumptions!G7)*(1+Assumptions!G12)</f>
        <v/>
      </c>
      <c r="K8" s="6" t="inlineStr">
        <is>
          <t>Sales to salons, spas, and other businesses</t>
        </is>
      </c>
    </row>
    <row r="9">
      <c r="A9" s="3" t="inlineStr">
        <is>
          <t>Geographic Markets</t>
        </is>
      </c>
      <c r="B9" s="4" t="inlineStr">
        <is>
          <t>Domestic</t>
        </is>
      </c>
      <c r="C9" s="6" t="inlineStr">
        <is>
          <t>Market size × market share</t>
        </is>
      </c>
      <c r="D9" s="12" t="inlineStr">
        <is>
          <t>600000</t>
        </is>
      </c>
      <c r="E9" s="17" t="inlineStr">
        <is>
          <t>26.00</t>
        </is>
      </c>
      <c r="F9" s="12">
        <f>D9*E9</f>
        <v/>
      </c>
      <c r="G9" s="12">
        <f>F9*(1+Assumptions!D7)*(1+Assumptions!D12)</f>
        <v/>
      </c>
      <c r="H9" s="12">
        <f>G9*(1+Assumptions!E7)*(1+Assumptions!E12)</f>
        <v/>
      </c>
      <c r="I9" s="12">
        <f>H9*(1+Assumptions!F7)*(1+Assumptions!F12)</f>
        <v/>
      </c>
      <c r="J9" s="12">
        <f>I9*(1+Assumptions!G7)*(1+Assumptions!G12)</f>
        <v/>
      </c>
      <c r="K9" s="6" t="inlineStr">
        <is>
          <t>Sales within primary country of operation</t>
        </is>
      </c>
    </row>
    <row r="10">
      <c r="A10" s="6" t="inlineStr">
        <is>
          <t>Geographic Markets</t>
        </is>
      </c>
      <c r="B10" s="4" t="inlineStr">
        <is>
          <t>International - Developed</t>
        </is>
      </c>
      <c r="C10" s="6" t="inlineStr">
        <is>
          <t>Market size × market share</t>
        </is>
      </c>
      <c r="D10" s="12" t="inlineStr">
        <is>
          <t>200000</t>
        </is>
      </c>
      <c r="E10" s="17" t="inlineStr">
        <is>
          <t>30.00</t>
        </is>
      </c>
      <c r="F10" s="12">
        <f>D10*E10</f>
        <v/>
      </c>
      <c r="G10" s="12">
        <f>F10*(1+Assumptions!D7)*(1+Assumptions!D12)</f>
        <v/>
      </c>
      <c r="H10" s="12">
        <f>G10*(1+Assumptions!E7)*(1+Assumptions!E12)</f>
        <v/>
      </c>
      <c r="I10" s="12">
        <f>H10*(1+Assumptions!F7)*(1+Assumptions!F12)</f>
        <v/>
      </c>
      <c r="J10" s="12">
        <f>I10*(1+Assumptions!G7)*(1+Assumptions!G12)</f>
        <v/>
      </c>
      <c r="K10" s="6" t="inlineStr">
        <is>
          <t>Sales in established international markets</t>
        </is>
      </c>
    </row>
    <row r="11">
      <c r="A11" s="6" t="inlineStr">
        <is>
          <t>Geographic Markets</t>
        </is>
      </c>
      <c r="B11" s="4" t="inlineStr">
        <is>
          <t>International - Emerging</t>
        </is>
      </c>
      <c r="C11" s="6" t="inlineStr">
        <is>
          <t>Market size × market share</t>
        </is>
      </c>
      <c r="D11" s="12" t="inlineStr">
        <is>
          <t>100000</t>
        </is>
      </c>
      <c r="E11" s="17" t="inlineStr">
        <is>
          <t>22.00</t>
        </is>
      </c>
      <c r="F11" s="12">
        <f>D11*E11</f>
        <v/>
      </c>
      <c r="G11" s="12">
        <f>F11*(1+Assumptions!D7)*(1+Assumptions!D12)</f>
        <v/>
      </c>
      <c r="H11" s="12">
        <f>G11*(1+Assumptions!E7)*(1+Assumptions!E12)</f>
        <v/>
      </c>
      <c r="I11" s="12">
        <f>H11*(1+Assumptions!F7)*(1+Assumptions!F12)</f>
        <v/>
      </c>
      <c r="J11" s="12">
        <f>I11*(1+Assumptions!G7)*(1+Assumptions!G12)</f>
        <v/>
      </c>
      <c r="K11" s="6" t="inlineStr">
        <is>
          <t>Sales in developing international markets</t>
        </is>
      </c>
    </row>
    <row r="13">
      <c r="A13" s="13" t="inlineStr">
        <is>
          <t>Total Revenue</t>
        </is>
      </c>
      <c r="F13" s="14">
        <f>SUM(F3:F12)</f>
        <v/>
      </c>
      <c r="G13" s="14">
        <f>SUM(G3:G12)</f>
        <v/>
      </c>
      <c r="H13" s="14">
        <f>SUM(H3:H12)</f>
        <v/>
      </c>
      <c r="I13" s="14">
        <f>SUM(I3:I12)</f>
        <v/>
      </c>
      <c r="J13" s="14">
        <f>SUM(J3:J12)</f>
        <v/>
      </c>
    </row>
    <row r="16">
      <c r="A16" s="27" t="inlineStr">
        <is>
          <t>Profitability Analysis</t>
        </is>
      </c>
    </row>
    <row r="17">
      <c r="A17" s="2" t="inlineStr">
        <is>
          <t>Metric</t>
        </is>
      </c>
      <c r="B17" s="2" t="inlineStr"/>
      <c r="C17" s="2" t="inlineStr"/>
      <c r="D17" s="2" t="inlineStr"/>
      <c r="E17" s="2" t="inlineStr"/>
      <c r="F17" s="2" t="inlineStr">
        <is>
          <t>Year 1</t>
        </is>
      </c>
      <c r="G17" s="2" t="inlineStr">
        <is>
          <t>Year 2</t>
        </is>
      </c>
      <c r="H17" s="2" t="inlineStr">
        <is>
          <t>Year 3</t>
        </is>
      </c>
      <c r="I17" s="2" t="inlineStr">
        <is>
          <t>Year 4</t>
        </is>
      </c>
      <c r="J17" s="2" t="inlineStr">
        <is>
          <t>Year 5</t>
        </is>
      </c>
    </row>
    <row r="18">
      <c r="A18" s="28" t="inlineStr">
        <is>
          <t>Revenue</t>
        </is>
      </c>
      <c r="F18" s="29">
        <f>F13</f>
        <v/>
      </c>
      <c r="G18" s="29">
        <f>G13</f>
        <v/>
      </c>
      <c r="H18" s="29">
        <f>H13</f>
        <v/>
      </c>
      <c r="I18" s="29">
        <f>I13</f>
        <v/>
      </c>
      <c r="J18" s="29">
        <f>J13</f>
        <v/>
      </c>
    </row>
    <row r="19">
      <c r="A19" s="28" t="inlineStr">
        <is>
          <t>Cost of Goods Sold (COGS)</t>
        </is>
      </c>
      <c r="F19" s="29">
        <f>COGS!F30</f>
        <v/>
      </c>
      <c r="G19" s="29">
        <f>COGS!G30</f>
        <v/>
      </c>
      <c r="H19" s="29">
        <f>COGS!H30</f>
        <v/>
      </c>
      <c r="I19" s="29">
        <f>COGS!I30</f>
        <v/>
      </c>
      <c r="J19" s="29">
        <f>COGS!J30</f>
        <v/>
      </c>
    </row>
    <row r="20">
      <c r="A20" s="28" t="inlineStr">
        <is>
          <t>Gross Profit</t>
        </is>
      </c>
      <c r="F20" s="20">
        <f>INDEX(F:J,20-2,MATCH(F$17,F$17:J$17,0))-INDEX(F:J,20-1,MATCH(F$17,F$17:J$17,0))</f>
        <v/>
      </c>
      <c r="G20" s="20">
        <f>INDEX(F:J,20-2,MATCH(G$17,F$17:J$17,0))-INDEX(F:J,20-1,MATCH(G$17,F$17:J$17,0))</f>
        <v/>
      </c>
      <c r="H20" s="20">
        <f>INDEX(F:J,20-2,MATCH(H$17,F$17:J$17,0))-INDEX(F:J,20-1,MATCH(H$17,F$17:J$17,0))</f>
        <v/>
      </c>
      <c r="I20" s="20">
        <f>INDEX(F:J,20-2,MATCH(I$17,F$17:J$17,0))-INDEX(F:J,20-1,MATCH(I$17,F$17:J$17,0))</f>
        <v/>
      </c>
      <c r="J20" s="20">
        <f>INDEX(F:J,20-2,MATCH(J$17,F$17:J$17,0))-INDEX(F:J,20-1,MATCH(J$17,F$17:J$17,0))</f>
        <v/>
      </c>
    </row>
    <row r="21">
      <c r="A21" s="28" t="inlineStr">
        <is>
          <t>Gross Margin %</t>
        </is>
      </c>
      <c r="F21" s="30">
        <f>INDEX(F:J,21-1,MATCH(F$17,F$17:J$17,0))/INDEX(F:J,21-3,MATCH(F$17,F$17:J$17,0))</f>
        <v/>
      </c>
      <c r="G21" s="30">
        <f>INDEX(F:J,21-1,MATCH(G$17,F$17:J$17,0))/INDEX(F:J,21-3,MATCH(G$17,F$17:J$17,0))</f>
        <v/>
      </c>
      <c r="H21" s="30">
        <f>INDEX(F:J,21-1,MATCH(H$17,F$17:J$17,0))/INDEX(F:J,21-3,MATCH(H$17,F$17:J$17,0))</f>
        <v/>
      </c>
      <c r="I21" s="30">
        <f>INDEX(F:J,21-1,MATCH(I$17,F$17:J$17,0))/INDEX(F:J,21-3,MATCH(I$17,F$17:J$17,0))</f>
        <v/>
      </c>
      <c r="J21" s="30">
        <f>INDEX(F:J,21-1,MATCH(J$17,F$17:J$17,0))/INDEX(F:J,21-3,MATCH(J$17,F$17:J$17,0))</f>
        <v/>
      </c>
    </row>
    <row r="22">
      <c r="A22" s="28" t="inlineStr">
        <is>
          <t>Operational Costs</t>
        </is>
      </c>
      <c r="F22" s="29">
        <f>'Operational Costs'!F30</f>
        <v/>
      </c>
      <c r="G22" s="29">
        <f>'Operational Costs'!G30</f>
        <v/>
      </c>
      <c r="H22" s="29">
        <f>'Operational Costs'!H30</f>
        <v/>
      </c>
      <c r="I22" s="29">
        <f>'Operational Costs'!I30</f>
        <v/>
      </c>
      <c r="J22" s="29">
        <f>'Operational Costs'!J30</f>
        <v/>
      </c>
    </row>
    <row r="23">
      <c r="A23" s="28" t="inlineStr">
        <is>
          <t>SG&amp;A Expenses</t>
        </is>
      </c>
      <c r="F23" s="29">
        <f>'SG&amp;A'!F40</f>
        <v/>
      </c>
      <c r="G23" s="29">
        <f>'SG&amp;A'!G40</f>
        <v/>
      </c>
      <c r="H23" s="29">
        <f>'SG&amp;A'!H40</f>
        <v/>
      </c>
      <c r="I23" s="29">
        <f>'SG&amp;A'!I40</f>
        <v/>
      </c>
      <c r="J23" s="29">
        <f>'SG&amp;A'!J40</f>
        <v/>
      </c>
    </row>
    <row r="24">
      <c r="A24" s="28" t="inlineStr">
        <is>
          <t>EBITDA</t>
        </is>
      </c>
      <c r="F24" s="20">
        <f>INDEX(F:J,24-4,MATCH(F$17,F$17:J$17,0))-INDEX(F:J,24-2,MATCH(F$17,F$17:J$17,0))-INDEX(F:J,24-1,MATCH(F$17,F$17:J$17,0))</f>
        <v/>
      </c>
      <c r="G24" s="20">
        <f>INDEX(F:J,24-4,MATCH(G$17,F$17:J$17,0))-INDEX(F:J,24-2,MATCH(G$17,F$17:J$17,0))-INDEX(F:J,24-1,MATCH(G$17,F$17:J$17,0))</f>
        <v/>
      </c>
      <c r="H24" s="20">
        <f>INDEX(F:J,24-4,MATCH(H$17,F$17:J$17,0))-INDEX(F:J,24-2,MATCH(H$17,F$17:J$17,0))-INDEX(F:J,24-1,MATCH(H$17,F$17:J$17,0))</f>
        <v/>
      </c>
      <c r="I24" s="20">
        <f>INDEX(F:J,24-4,MATCH(I$17,F$17:J$17,0))-INDEX(F:J,24-2,MATCH(I$17,F$17:J$17,0))-INDEX(F:J,24-1,MATCH(I$17,F$17:J$17,0))</f>
        <v/>
      </c>
      <c r="J24" s="20">
        <f>INDEX(F:J,24-4,MATCH(J$17,F$17:J$17,0))-INDEX(F:J,24-2,MATCH(J$17,F$17:J$17,0))-INDEX(F:J,24-1,MATCH(J$17,F$17:J$17,0))</f>
        <v/>
      </c>
    </row>
    <row r="25">
      <c r="A25" s="28" t="inlineStr">
        <is>
          <t>EBITDA Margin %</t>
        </is>
      </c>
      <c r="F25" s="30">
        <f>INDEX(F:J,25-1,MATCH(F$17,F$17:J$17,0))/INDEX(F:J,25-7,MATCH(F$17,F$17:J$17,0))</f>
        <v/>
      </c>
      <c r="G25" s="30">
        <f>INDEX(F:J,25-1,MATCH(G$17,F$17:J$17,0))/INDEX(F:J,25-7,MATCH(G$17,F$17:J$17,0))</f>
        <v/>
      </c>
      <c r="H25" s="30">
        <f>INDEX(F:J,25-1,MATCH(H$17,F$17:J$17,0))/INDEX(F:J,25-7,MATCH(H$17,F$17:J$17,0))</f>
        <v/>
      </c>
      <c r="I25" s="30">
        <f>INDEX(F:J,25-1,MATCH(I$17,F$17:J$17,0))/INDEX(F:J,25-7,MATCH(I$17,F$17:J$17,0))</f>
        <v/>
      </c>
      <c r="J25" s="30">
        <f>INDEX(F:J,25-1,MATCH(J$17,F$17:J$17,0))/INDEX(F:J,25-7,MATCH(J$17,F$17:J$17,0))</f>
        <v/>
      </c>
    </row>
    <row r="26">
      <c r="A26" s="28" t="inlineStr">
        <is>
          <t>Depreciation &amp; Amortization</t>
        </is>
      </c>
      <c r="F26" s="29">
        <f>100000</f>
        <v/>
      </c>
      <c r="G26" s="29">
        <f>100000</f>
        <v/>
      </c>
      <c r="H26" s="29">
        <f>100000</f>
        <v/>
      </c>
      <c r="I26" s="29">
        <f>100000</f>
        <v/>
      </c>
      <c r="J26" s="29">
        <f>100000</f>
        <v/>
      </c>
    </row>
    <row r="27">
      <c r="A27" s="28" t="inlineStr">
        <is>
          <t>EBIT</t>
        </is>
      </c>
      <c r="F27" s="29">
        <f>INDEX(F:J,27-3,MATCH(F$17,F$17:J$17,0))-INDEX(F:J,27-1,MATCH(F$17,F$17:J$17,0))</f>
        <v/>
      </c>
      <c r="G27" s="29">
        <f>INDEX(F:J,27-3,MATCH(G$17,F$17:J$17,0))-INDEX(F:J,27-1,MATCH(G$17,F$17:J$17,0))</f>
        <v/>
      </c>
      <c r="H27" s="29">
        <f>INDEX(F:J,27-3,MATCH(H$17,F$17:J$17,0))-INDEX(F:J,27-1,MATCH(H$17,F$17:J$17,0))</f>
        <v/>
      </c>
      <c r="I27" s="29">
        <f>INDEX(F:J,27-3,MATCH(I$17,F$17:J$17,0))-INDEX(F:J,27-1,MATCH(I$17,F$17:J$17,0))</f>
        <v/>
      </c>
      <c r="J27" s="29">
        <f>INDEX(F:J,27-3,MATCH(J$17,F$17:J$17,0))-INDEX(F:J,27-1,MATCH(J$17,F$17:J$17,0))</f>
        <v/>
      </c>
    </row>
    <row r="28">
      <c r="A28" s="28" t="inlineStr">
        <is>
          <t>Interest Expense</t>
        </is>
      </c>
      <c r="F28" s="29">
        <f>Assumptions!F61*1000000</f>
        <v/>
      </c>
      <c r="G28" s="29">
        <f>Assumptions!G61*1000000</f>
        <v/>
      </c>
      <c r="H28" s="29">
        <f>Assumptions!H61*1000000</f>
        <v/>
      </c>
      <c r="I28" s="29">
        <f>Assumptions!I61*1000000</f>
        <v/>
      </c>
      <c r="J28" s="29">
        <f>Assumptions!J61*1000000</f>
        <v/>
      </c>
    </row>
    <row r="29">
      <c r="A29" s="28" t="inlineStr">
        <is>
          <t>EBT</t>
        </is>
      </c>
      <c r="F29" s="29">
        <f>INDEX(F:J,29-2,MATCH(F$17,F$17:J$17,0))-INDEX(F:J,29-1,MATCH(F$17,F$17:J$17,0))</f>
        <v/>
      </c>
      <c r="G29" s="29">
        <f>INDEX(F:J,29-2,MATCH(G$17,F$17:J$17,0))-INDEX(F:J,29-1,MATCH(G$17,F$17:J$17,0))</f>
        <v/>
      </c>
      <c r="H29" s="29">
        <f>INDEX(F:J,29-2,MATCH(H$17,F$17:J$17,0))-INDEX(F:J,29-1,MATCH(H$17,F$17:J$17,0))</f>
        <v/>
      </c>
      <c r="I29" s="29">
        <f>INDEX(F:J,29-2,MATCH(I$17,F$17:J$17,0))-INDEX(F:J,29-1,MATCH(I$17,F$17:J$17,0))</f>
        <v/>
      </c>
      <c r="J29" s="29">
        <f>INDEX(F:J,29-2,MATCH(J$17,F$17:J$17,0))-INDEX(F:J,29-1,MATCH(J$17,F$17:J$17,0))</f>
        <v/>
      </c>
    </row>
    <row r="30">
      <c r="A30" s="28" t="inlineStr">
        <is>
          <t>Income Tax</t>
        </is>
      </c>
      <c r="F30" s="29">
        <f>INDEX(F:J,30-1,MATCH(F$17,F$17:J$17,0))*Assumptions!F6</f>
        <v/>
      </c>
      <c r="G30" s="29">
        <f>INDEX(F:J,30-1,MATCH(G$17,F$17:J$17,0))*Assumptions!G6</f>
        <v/>
      </c>
      <c r="H30" s="29">
        <f>INDEX(F:J,30-1,MATCH(H$17,F$17:J$17,0))*Assumptions!H6</f>
        <v/>
      </c>
      <c r="I30" s="29">
        <f>INDEX(F:J,30-1,MATCH(I$17,F$17:J$17,0))*Assumptions!I6</f>
        <v/>
      </c>
      <c r="J30" s="29">
        <f>INDEX(F:J,30-1,MATCH(J$17,F$17:J$17,0))*Assumptions!J6</f>
        <v/>
      </c>
    </row>
    <row r="31">
      <c r="A31" s="28" t="inlineStr">
        <is>
          <t>Net Income</t>
        </is>
      </c>
      <c r="F31" s="20">
        <f>INDEX(F:J,31-2,MATCH(F$17,F$17:J$17,0))-INDEX(F:J,31-1,MATCH(F$17,F$17:J$17,0))</f>
        <v/>
      </c>
      <c r="G31" s="20">
        <f>INDEX(F:J,31-2,MATCH(G$17,F$17:J$17,0))-INDEX(F:J,31-1,MATCH(G$17,F$17:J$17,0))</f>
        <v/>
      </c>
      <c r="H31" s="20">
        <f>INDEX(F:J,31-2,MATCH(H$17,F$17:J$17,0))-INDEX(F:J,31-1,MATCH(H$17,F$17:J$17,0))</f>
        <v/>
      </c>
      <c r="I31" s="20">
        <f>INDEX(F:J,31-2,MATCH(I$17,F$17:J$17,0))-INDEX(F:J,31-1,MATCH(I$17,F$17:J$17,0))</f>
        <v/>
      </c>
      <c r="J31" s="20">
        <f>INDEX(F:J,31-2,MATCH(J$17,F$17:J$17,0))-INDEX(F:J,31-1,MATCH(J$17,F$17:J$17,0))</f>
        <v/>
      </c>
    </row>
    <row r="32">
      <c r="A32" s="28" t="inlineStr">
        <is>
          <t>Net Profit Margin %</t>
        </is>
      </c>
      <c r="F32" s="30">
        <f>INDEX(F:J,32-1,MATCH(F$17,F$17:J$17,0))/INDEX(F:J,32-14,MATCH(F$17,F$17:J$17,0))</f>
        <v/>
      </c>
      <c r="G32" s="30">
        <f>INDEX(F:J,32-1,MATCH(G$17,F$17:J$17,0))/INDEX(F:J,32-14,MATCH(G$17,F$17:J$17,0))</f>
        <v/>
      </c>
      <c r="H32" s="30">
        <f>INDEX(F:J,32-1,MATCH(H$17,F$17:J$17,0))/INDEX(F:J,32-14,MATCH(H$17,F$17:J$17,0))</f>
        <v/>
      </c>
      <c r="I32" s="30">
        <f>INDEX(F:J,32-1,MATCH(I$17,F$17:J$17,0))/INDEX(F:J,32-14,MATCH(I$17,F$17:J$17,0))</f>
        <v/>
      </c>
      <c r="J32" s="30">
        <f>INDEX(F:J,32-1,MATCH(J$17,F$17:J$17,0))/INDEX(F:J,32-14,MATCH(J$17,F$17:J$17,0))</f>
        <v/>
      </c>
    </row>
    <row r="35">
      <c r="A35" s="27" t="inlineStr">
        <is>
          <t>Scenario Analysis</t>
        </is>
      </c>
    </row>
    <row r="36">
      <c r="A36" s="2" t="inlineStr">
        <is>
          <t>Scenario</t>
        </is>
      </c>
      <c r="B36" s="2" t="inlineStr">
        <is>
          <t>Revenue Growth</t>
        </is>
      </c>
      <c r="C36" s="2" t="inlineStr">
        <is>
          <t>COGS %</t>
        </is>
      </c>
      <c r="D36" s="2" t="inlineStr">
        <is>
          <t>SG&amp;A %</t>
        </is>
      </c>
      <c r="E36" s="2" t="inlineStr">
        <is>
          <t>Year 1 Revenue</t>
        </is>
      </c>
      <c r="F36" s="2" t="inlineStr">
        <is>
          <t>Year 5 Revenue</t>
        </is>
      </c>
      <c r="G36" s="2" t="inlineStr">
        <is>
          <t>Year 1 Net Income</t>
        </is>
      </c>
      <c r="H36" s="2" t="inlineStr">
        <is>
          <t>Year 5 Net Income</t>
        </is>
      </c>
      <c r="I36" s="2" t="inlineStr">
        <is>
          <t>Year 1 Margin</t>
        </is>
      </c>
      <c r="J36" s="2" t="inlineStr">
        <is>
          <t>Year 5 Margin</t>
        </is>
      </c>
    </row>
    <row r="37">
      <c r="A37" s="24" t="inlineStr">
        <is>
          <t>Base Case</t>
        </is>
      </c>
      <c r="B37" s="31">
        <f>Assumptions!C7</f>
        <v/>
      </c>
      <c r="C37" s="31">
        <f>COGS!F29/F24</f>
        <v/>
      </c>
      <c r="D37" s="31">
        <f>'SG&amp;A'!F39/F24</f>
        <v/>
      </c>
      <c r="E37" s="32">
        <f>F13</f>
        <v/>
      </c>
      <c r="F37" s="32">
        <f>J13</f>
        <v/>
      </c>
      <c r="G37" s="32">
        <f>F31</f>
        <v/>
      </c>
      <c r="H37" s="32">
        <f>J31</f>
        <v/>
      </c>
      <c r="I37" s="33">
        <f>G37/E37</f>
        <v/>
      </c>
      <c r="J37" s="33">
        <f>H37/F37</f>
        <v/>
      </c>
    </row>
    <row r="38">
      <c r="A38" s="24" t="inlineStr">
        <is>
          <t>Optimistic</t>
        </is>
      </c>
      <c r="B38" s="31">
        <f>Assumptions!C7*1.2</f>
        <v/>
      </c>
      <c r="C38" s="31">
        <f>COGS!F29/F24*0.9</f>
        <v/>
      </c>
      <c r="D38" s="31">
        <f>'SG&amp;A'!F39/F24*0.9</f>
        <v/>
      </c>
      <c r="E38" s="32">
        <f>F13*1.1</f>
        <v/>
      </c>
      <c r="F38" s="32">
        <f>J13*1.2</f>
        <v/>
      </c>
      <c r="G38" s="32">
        <f>F31*1.3</f>
        <v/>
      </c>
      <c r="H38" s="32">
        <f>J31*1.4</f>
        <v/>
      </c>
      <c r="I38" s="33">
        <f>G38/E38</f>
        <v/>
      </c>
      <c r="J38" s="33">
        <f>H38/F38</f>
        <v/>
      </c>
    </row>
    <row r="39">
      <c r="A39" s="24" t="inlineStr">
        <is>
          <t>Pessimistic</t>
        </is>
      </c>
      <c r="B39" s="31">
        <f>Assumptions!C7*0.8</f>
        <v/>
      </c>
      <c r="C39" s="31">
        <f>COGS!F29/F24*1.1</f>
        <v/>
      </c>
      <c r="D39" s="31">
        <f>'SG&amp;A'!F39/F24*1.1</f>
        <v/>
      </c>
      <c r="E39" s="32">
        <f>F13*0.9</f>
        <v/>
      </c>
      <c r="F39" s="32">
        <f>J13*0.8</f>
        <v/>
      </c>
      <c r="G39" s="32">
        <f>F31*0.7</f>
        <v/>
      </c>
      <c r="H39" s="32">
        <f>J31*0.6</f>
        <v/>
      </c>
      <c r="I39" s="33">
        <f>G39/E39</f>
        <v/>
      </c>
      <c r="J39" s="33">
        <f>H39/F39</f>
        <v/>
      </c>
    </row>
  </sheetData>
  <mergeCells count="19">
    <mergeCell ref="A30:E30"/>
    <mergeCell ref="A24:E24"/>
    <mergeCell ref="A35:J35"/>
    <mergeCell ref="A1:K1"/>
    <mergeCell ref="A25:E25"/>
    <mergeCell ref="A18:E18"/>
    <mergeCell ref="A27:E27"/>
    <mergeCell ref="A21:E21"/>
    <mergeCell ref="A13:C13"/>
    <mergeCell ref="A26:E26"/>
    <mergeCell ref="A23:E23"/>
    <mergeCell ref="A32:E32"/>
    <mergeCell ref="A16:J16"/>
    <mergeCell ref="A22:E22"/>
    <mergeCell ref="A29:E29"/>
    <mergeCell ref="A20:E20"/>
    <mergeCell ref="A28:E28"/>
    <mergeCell ref="A19:E19"/>
    <mergeCell ref="A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2025-06-05T09:13:16Z</dcterms:created>
  <dcterms:modified xmlns:dcterms="http://purl.org/dc/terms/" xmlns:xsi="http://www.w3.org/2001/XMLSchema-instance" xsi:type="dcterms:W3CDTF">2025-06-05T09:52:36Z</dcterms:modified>
</cp:coreProperties>
</file>